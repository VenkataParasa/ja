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6D2BBD3E-628A-487B-81E6-E939565D4D8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16" i="1"/>
  <c r="E16" i="1" s="1"/>
  <c r="E15" i="1"/>
  <c r="E14" i="1"/>
  <c r="E13" i="1"/>
  <c r="E12" i="1"/>
  <c r="E11" i="1"/>
  <c r="E10" i="1"/>
  <c r="E9" i="1"/>
  <c r="E8" i="1"/>
  <c r="E7" i="1"/>
  <c r="E5" i="1"/>
  <c r="E4" i="1"/>
  <c r="E3" i="1"/>
  <c r="E2" i="1"/>
  <c r="D17" i="1" l="1"/>
  <c r="D18" i="1"/>
  <c r="E18" i="1" s="1"/>
  <c r="E17" i="1" l="1"/>
</calcChain>
</file>

<file path=xl/sharedStrings.xml><?xml version="1.0" encoding="utf-8"?>
<sst xmlns="http://schemas.openxmlformats.org/spreadsheetml/2006/main" count="46" uniqueCount="44">
  <si>
    <t>Phase</t>
  </si>
  <si>
    <t>Feature</t>
  </si>
  <si>
    <t>Hours</t>
  </si>
  <si>
    <t>Cost</t>
  </si>
  <si>
    <t>Team</t>
  </si>
  <si>
    <t>Comments</t>
  </si>
  <si>
    <t>Discovery and Design</t>
  </si>
  <si>
    <t>Designer, FE</t>
  </si>
  <si>
    <t>Designer Full Time</t>
  </si>
  <si>
    <t>Development</t>
  </si>
  <si>
    <t>DevOps, SA</t>
  </si>
  <si>
    <t>Terraform/ARM Infrastructure</t>
  </si>
  <si>
    <t>BE</t>
  </si>
  <si>
    <t>FE, BE</t>
  </si>
  <si>
    <t>FE</t>
  </si>
  <si>
    <t>React Native / Expo</t>
  </si>
  <si>
    <t>Reporting &amp; Power BI Analytics Data</t>
  </si>
  <si>
    <t>Data, BE</t>
  </si>
  <si>
    <t>Testing &amp; Delivery</t>
  </si>
  <si>
    <t>QA, Sec</t>
  </si>
  <si>
    <t>End-to-End User Acceptance Iterative Bug Fixes</t>
  </si>
  <si>
    <t>QA, FE, BE</t>
  </si>
  <si>
    <t>PM, SA, DevOps</t>
  </si>
  <si>
    <t>Sub-Total</t>
  </si>
  <si>
    <t>PM (10%)</t>
  </si>
  <si>
    <t>Total</t>
  </si>
  <si>
    <t>Notes</t>
  </si>
  <si>
    <t>These estimates account for the complete set of RFP requirements.</t>
  </si>
  <si>
    <t>Includes complex AI integrations, Gamification engine APIs, and 4 environment setups.</t>
  </si>
  <si>
    <t>Assumes fully offline dynamic configurable PDFs generator.</t>
  </si>
  <si>
    <t>Explicitly includes SDK connections for physical NFC usage and external ePOS debit card swipers.</t>
  </si>
  <si>
    <t>Requirements Analysis 
Technical Discovery</t>
  </si>
  <si>
    <t>UX/UI Conceptualization &amp; Mood Boards
Wireframes &amp; Clickable Prototyping
Visual Identity</t>
  </si>
  <si>
    <t>Backend Core Simulation Engine
Financial Engine
Auth Entra B2C</t>
  </si>
  <si>
    <t>Backend Gamification API Engine
Azure OpenAI Integration</t>
  </si>
  <si>
    <t>Mobile Apps: Student App SPA
Onboarding
Financial App UI
AI Tools
POS Hardware (NFC/ePOS/Swipers)</t>
  </si>
  <si>
    <t>Web/Tablet Dashboards: Staff
Teacher &amp; Volunteer</t>
  </si>
  <si>
    <t>Accessibility Validation (WCAG 2.2 AA)
Load Testing
Security Assessments</t>
  </si>
  <si>
    <t>App Store Processing
Final Code Reviews
Data Schema Manuals
Admin Training</t>
  </si>
  <si>
    <t>System Architecture
Database Schema Design
Azure Subscriptions
Network &amp; Governance Setup
CI/CD Pipelines
4 Environments (Dev, QA, Staging, Prod)</t>
  </si>
  <si>
    <t>Blended Rate / Hour</t>
  </si>
  <si>
    <t>CMS: Multi-Tenant Admin
Templates
Localization
React UI Offline PDF Gen</t>
  </si>
  <si>
    <t>PM, SA, SSE</t>
  </si>
  <si>
    <t>Loan Management
Check Deposit
Shopping Mode
Emergency Mode
Rule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</si>
</sst>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textRotation="89" wrapText="1"/>
    </xf>
    <xf numFmtId="0" fontId="0" fillId="0" borderId="2" xfId="0" applyBorder="1" applyAlignment="1">
      <alignment horizontal="center" vertical="center" textRotation="89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4" borderId="2" xfId="0" applyFont="1" applyFill="1" applyBorder="1" applyAlignment="1">
      <alignment horizontal="center" vertical="center" textRotation="90" wrapText="1"/>
    </xf>
    <xf numFmtId="0" fontId="0" fillId="5" borderId="4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0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0" fillId="5" borderId="12" xfId="0" applyFill="1" applyBorder="1" applyAlignment="1">
      <alignment vertical="top" wrapText="1"/>
    </xf>
    <xf numFmtId="0" fontId="2" fillId="5" borderId="13" xfId="0" applyFont="1" applyFill="1" applyBorder="1" applyAlignment="1">
      <alignment horizontal="center" vertical="top" wrapText="1"/>
    </xf>
    <xf numFmtId="0" fontId="2" fillId="5" borderId="14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2" fillId="5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3" workbookViewId="0">
      <selection activeCell="E8" sqref="E8"/>
    </sheetView>
  </sheetViews>
  <sheetFormatPr defaultRowHeight="14.25" x14ac:dyDescent="0.45"/>
  <cols>
    <col min="1" max="1" width="9.06640625" style="2"/>
    <col min="2" max="2" width="20.73046875" style="2" customWidth="1"/>
    <col min="3" max="3" width="87" style="2" bestFit="1" customWidth="1"/>
    <col min="4" max="6" width="9.06640625" style="2"/>
    <col min="7" max="7" width="24.3984375" style="2" customWidth="1"/>
    <col min="8" max="16384" width="9.06640625" style="2"/>
  </cols>
  <sheetData>
    <row r="1" spans="1:7" ht="14.65" thickBot="1" x14ac:dyDescent="0.5">
      <c r="A1" s="1"/>
      <c r="B1" s="18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</row>
    <row r="2" spans="1:7" ht="28.9" thickBot="1" x14ac:dyDescent="0.5">
      <c r="B2" s="4" t="s">
        <v>6</v>
      </c>
      <c r="C2" s="20" t="s">
        <v>31</v>
      </c>
      <c r="D2" s="20">
        <v>240</v>
      </c>
      <c r="E2" s="20">
        <f>+D2*$E$27</f>
        <v>21600</v>
      </c>
      <c r="F2" s="20" t="s">
        <v>42</v>
      </c>
      <c r="G2" s="20"/>
    </row>
    <row r="3" spans="1:7" ht="43.15" thickBot="1" x14ac:dyDescent="0.5">
      <c r="B3" s="4"/>
      <c r="C3" s="20" t="s">
        <v>32</v>
      </c>
      <c r="D3" s="20">
        <v>320</v>
      </c>
      <c r="E3" s="20">
        <f>+D3*$E$27</f>
        <v>28800</v>
      </c>
      <c r="F3" s="20" t="s">
        <v>7</v>
      </c>
      <c r="G3" s="20" t="s">
        <v>8</v>
      </c>
    </row>
    <row r="4" spans="1:7" ht="86.25" customHeight="1" thickBot="1" x14ac:dyDescent="0.5">
      <c r="B4" s="4"/>
      <c r="C4" s="20" t="s">
        <v>39</v>
      </c>
      <c r="D4" s="20">
        <v>150</v>
      </c>
      <c r="E4" s="20">
        <f>+D4*$E$27</f>
        <v>13500</v>
      </c>
      <c r="F4" s="20" t="s">
        <v>10</v>
      </c>
      <c r="G4" s="20" t="s">
        <v>11</v>
      </c>
    </row>
    <row r="5" spans="1:7" ht="43.15" thickBot="1" x14ac:dyDescent="0.5">
      <c r="B5" s="5" t="s">
        <v>9</v>
      </c>
      <c r="C5" s="20" t="s">
        <v>33</v>
      </c>
      <c r="D5" s="20">
        <v>400</v>
      </c>
      <c r="E5" s="20">
        <f>+D5*$E$27</f>
        <v>36000</v>
      </c>
      <c r="F5" s="20" t="s">
        <v>12</v>
      </c>
      <c r="G5" s="20"/>
    </row>
    <row r="6" spans="1:7" ht="71.650000000000006" thickBot="1" x14ac:dyDescent="0.5">
      <c r="B6" s="5"/>
      <c r="C6" s="20" t="s">
        <v>43</v>
      </c>
      <c r="D6" s="20">
        <v>800</v>
      </c>
      <c r="E6" s="20">
        <f>+D6*$E$27</f>
        <v>72000</v>
      </c>
      <c r="F6" s="20"/>
      <c r="G6" s="20"/>
    </row>
    <row r="7" spans="1:7" ht="28.9" thickBot="1" x14ac:dyDescent="0.5">
      <c r="B7" s="5"/>
      <c r="C7" s="20" t="s">
        <v>34</v>
      </c>
      <c r="D7" s="20">
        <v>160</v>
      </c>
      <c r="E7" s="20">
        <f>+D7*$E$27</f>
        <v>14400</v>
      </c>
      <c r="F7" s="20" t="s">
        <v>12</v>
      </c>
      <c r="G7" s="20"/>
    </row>
    <row r="8" spans="1:7" ht="57.4" thickBot="1" x14ac:dyDescent="0.5">
      <c r="B8" s="5"/>
      <c r="C8" s="20" t="s">
        <v>41</v>
      </c>
      <c r="D8" s="20">
        <v>350</v>
      </c>
      <c r="E8" s="20">
        <f>+D8*$E$27</f>
        <v>31500</v>
      </c>
      <c r="F8" s="20" t="s">
        <v>13</v>
      </c>
      <c r="G8" s="20"/>
    </row>
    <row r="9" spans="1:7" ht="71.650000000000006" thickBot="1" x14ac:dyDescent="0.5">
      <c r="B9" s="5"/>
      <c r="C9" s="20" t="s">
        <v>35</v>
      </c>
      <c r="D9" s="20">
        <v>600</v>
      </c>
      <c r="E9" s="20">
        <f>+D9*$E$27</f>
        <v>54000</v>
      </c>
      <c r="F9" s="20" t="s">
        <v>14</v>
      </c>
      <c r="G9" s="20" t="s">
        <v>15</v>
      </c>
    </row>
    <row r="10" spans="1:7" ht="28.9" thickBot="1" x14ac:dyDescent="0.5">
      <c r="B10" s="5"/>
      <c r="C10" s="20" t="s">
        <v>36</v>
      </c>
      <c r="D10" s="20">
        <v>360</v>
      </c>
      <c r="E10" s="20">
        <f>+D10*$E$27</f>
        <v>32400</v>
      </c>
      <c r="F10" s="20" t="s">
        <v>13</v>
      </c>
      <c r="G10" s="20"/>
    </row>
    <row r="11" spans="1:7" ht="14.65" thickBot="1" x14ac:dyDescent="0.5">
      <c r="B11" s="6"/>
      <c r="C11" s="20" t="s">
        <v>16</v>
      </c>
      <c r="D11" s="20">
        <v>160</v>
      </c>
      <c r="E11" s="20">
        <f>+D11*$E$27</f>
        <v>14400</v>
      </c>
      <c r="F11" s="20" t="s">
        <v>17</v>
      </c>
      <c r="G11" s="20"/>
    </row>
    <row r="12" spans="1:7" ht="43.15" thickBot="1" x14ac:dyDescent="0.5">
      <c r="B12" s="7" t="s">
        <v>18</v>
      </c>
      <c r="C12" s="20" t="s">
        <v>37</v>
      </c>
      <c r="D12" s="20">
        <v>160</v>
      </c>
      <c r="E12" s="20">
        <f>+D12*$E$27</f>
        <v>14400</v>
      </c>
      <c r="F12" s="20" t="s">
        <v>19</v>
      </c>
      <c r="G12" s="20"/>
    </row>
    <row r="13" spans="1:7" ht="14.65" thickBot="1" x14ac:dyDescent="0.5">
      <c r="B13" s="8"/>
      <c r="C13" s="20" t="s">
        <v>20</v>
      </c>
      <c r="D13" s="20">
        <v>80</v>
      </c>
      <c r="E13" s="20">
        <f>+D13*$E$27</f>
        <v>7200</v>
      </c>
      <c r="F13" s="20" t="s">
        <v>21</v>
      </c>
      <c r="G13" s="20"/>
    </row>
    <row r="14" spans="1:7" ht="57.4" thickBot="1" x14ac:dyDescent="0.5">
      <c r="B14" s="8"/>
      <c r="C14" s="20" t="s">
        <v>38</v>
      </c>
      <c r="D14" s="20">
        <v>90</v>
      </c>
      <c r="E14" s="20">
        <f>+D14*$E$27</f>
        <v>8100</v>
      </c>
      <c r="F14" s="20" t="s">
        <v>22</v>
      </c>
      <c r="G14" s="20"/>
    </row>
    <row r="15" spans="1:7" x14ac:dyDescent="0.45">
      <c r="B15" s="9"/>
      <c r="C15" s="10"/>
      <c r="D15" s="10"/>
      <c r="E15" s="10">
        <f>+D15*$E$27</f>
        <v>0</v>
      </c>
      <c r="F15" s="10"/>
      <c r="G15" s="11"/>
    </row>
    <row r="16" spans="1:7" x14ac:dyDescent="0.45">
      <c r="B16" s="12"/>
      <c r="C16" s="21" t="s">
        <v>23</v>
      </c>
      <c r="D16" s="21">
        <f>SUM(D2:D14)</f>
        <v>3870</v>
      </c>
      <c r="E16" s="21">
        <f>+D16*$E$27</f>
        <v>348300</v>
      </c>
      <c r="F16" s="13"/>
      <c r="G16" s="14"/>
    </row>
    <row r="17" spans="2:7" x14ac:dyDescent="0.45">
      <c r="B17" s="12"/>
      <c r="C17" s="21" t="s">
        <v>24</v>
      </c>
      <c r="D17" s="21">
        <f>+D16*0.1</f>
        <v>387</v>
      </c>
      <c r="E17" s="21">
        <f>+D17*$E$27</f>
        <v>34830</v>
      </c>
      <c r="F17" s="13"/>
      <c r="G17" s="14"/>
    </row>
    <row r="18" spans="2:7" x14ac:dyDescent="0.45">
      <c r="B18" s="12"/>
      <c r="C18" s="21" t="s">
        <v>25</v>
      </c>
      <c r="D18" s="21">
        <f>+D16+D17</f>
        <v>4257</v>
      </c>
      <c r="E18" s="21">
        <f>+D18*$E$27</f>
        <v>383130</v>
      </c>
      <c r="F18" s="13"/>
      <c r="G18" s="14"/>
    </row>
    <row r="19" spans="2:7" ht="14.65" thickBot="1" x14ac:dyDescent="0.5">
      <c r="B19" s="15"/>
      <c r="C19" s="16"/>
      <c r="D19" s="16"/>
      <c r="E19" s="16"/>
      <c r="F19" s="16"/>
      <c r="G19" s="17"/>
    </row>
    <row r="20" spans="2:7" x14ac:dyDescent="0.45">
      <c r="B20" s="2" t="s">
        <v>26</v>
      </c>
    </row>
    <row r="21" spans="2:7" x14ac:dyDescent="0.45">
      <c r="B21" s="3" t="s">
        <v>27</v>
      </c>
      <c r="C21" s="3"/>
      <c r="D21" s="3"/>
      <c r="E21" s="3"/>
      <c r="F21" s="3"/>
    </row>
    <row r="22" spans="2:7" x14ac:dyDescent="0.45">
      <c r="B22" s="3" t="s">
        <v>28</v>
      </c>
      <c r="C22" s="3"/>
      <c r="D22" s="3"/>
      <c r="E22" s="3"/>
    </row>
    <row r="23" spans="2:7" x14ac:dyDescent="0.45">
      <c r="B23" s="3" t="s">
        <v>29</v>
      </c>
      <c r="C23" s="3"/>
      <c r="D23" s="3"/>
      <c r="E23" s="3"/>
    </row>
    <row r="24" spans="2:7" x14ac:dyDescent="0.45">
      <c r="B24" s="3" t="s">
        <v>30</v>
      </c>
      <c r="C24" s="3"/>
      <c r="D24" s="3"/>
      <c r="E24" s="3"/>
    </row>
    <row r="27" spans="2:7" ht="42.75" x14ac:dyDescent="0.45">
      <c r="D27" s="2" t="s">
        <v>40</v>
      </c>
      <c r="E27" s="2">
        <v>90</v>
      </c>
    </row>
  </sheetData>
  <mergeCells count="7">
    <mergeCell ref="B21:F21"/>
    <mergeCell ref="B22:E22"/>
    <mergeCell ref="B23:E23"/>
    <mergeCell ref="B24:E24"/>
    <mergeCell ref="B2:B4"/>
    <mergeCell ref="B5:B11"/>
    <mergeCell ref="B12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2026-04-07T07:28:55Z</dcterms:created>
  <dcterms:modified xsi:type="dcterms:W3CDTF">2026-04-07T08:33:10Z</dcterms:modified>
</cp:coreProperties>
</file>