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Venkata\JA\"/>
    </mc:Choice>
  </mc:AlternateContent>
  <xr:revisionPtr revIDLastSave="0" documentId="13_ncr:1_{D149727B-3975-46DE-BD96-B516C46707C6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" l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<sst xmlns="http://schemas.openxmlformats.org/spreadsheetml/2006/main" count="45" uniqueCount="43">
  <si>
    <t>Phase</t>
  </si>
  <si>
    <t>Feature</t>
  </si>
  <si>
    <t>Hours</t>
  </si>
  <si>
    <t>Cost</t>
  </si>
  <si>
    <t>Team</t>
  </si>
  <si>
    <t>Comments</t>
  </si>
  <si>
    <t>Discovery and Design</t>
  </si>
  <si>
    <t>PM, SA</t>
  </si>
  <si>
    <t>Designer, FE</t>
  </si>
  <si>
    <t>Designer Full Time</t>
  </si>
  <si>
    <t>Development</t>
  </si>
  <si>
    <t>DevOps, SA</t>
  </si>
  <si>
    <t>Terraform/ARM Infrastructure</t>
  </si>
  <si>
    <t>BE</t>
  </si>
  <si>
    <t>FE, BE</t>
  </si>
  <si>
    <t>FE</t>
  </si>
  <si>
    <t>React Native / Expo</t>
  </si>
  <si>
    <t>Reporting &amp; Power BI Analytics Data</t>
  </si>
  <si>
    <t>Data, BE</t>
  </si>
  <si>
    <t>Testing &amp; Delivery</t>
  </si>
  <si>
    <t>QA, Sec</t>
  </si>
  <si>
    <t>End-to-End User Acceptance Iterative Bug Fixes</t>
  </si>
  <si>
    <t>QA, FE, BE</t>
  </si>
  <si>
    <t>PM, SA, DevOps</t>
  </si>
  <si>
    <t>Sub-Total</t>
  </si>
  <si>
    <t>PM (10%)</t>
  </si>
  <si>
    <t>Total</t>
  </si>
  <si>
    <t>Notes</t>
  </si>
  <si>
    <t>These estimates account for the complete set of RFP requirements.</t>
  </si>
  <si>
    <t>Includes complex AI integrations, Gamification engine APIs, and 4 environment setups.</t>
  </si>
  <si>
    <t>Assumes fully offline dynamic configurable PDFs generator.</t>
  </si>
  <si>
    <t>Explicitly includes SDK connections for physical NFC usage and external ePOS debit card swipers.</t>
  </si>
  <si>
    <t>Requirements Analysis 
Technical Discovery</t>
  </si>
  <si>
    <t>UX/UI Conceptualization &amp; Mood Boards
Wireframes &amp; Clickable Prototyping
Visual Identity</t>
  </si>
  <si>
    <t>Backend Core Simulation Engine
Financial Engine
Auth Entra B2C</t>
  </si>
  <si>
    <t>Backend Gamification API Engine
Azure OpenAI Integration</t>
  </si>
  <si>
    <t>Mobile Apps: Student App SPA
Onboarding
Financial App UI
AI Tools
POS Hardware (NFC/ePOS/Swipers)</t>
  </si>
  <si>
    <t>Web/Tablet Dashboards: Staff
Teacher &amp; Volunteer</t>
  </si>
  <si>
    <t>Accessibility Validation (WCAG 2.2 AA)
Load Testing
Security Assessments</t>
  </si>
  <si>
    <t>App Store Processing
Final Code Reviews
Data Schema Manuals
Admin Training</t>
  </si>
  <si>
    <t>System Architecture
Database Schema Design
Azure Subscriptions
Network &amp; Governance Setup
CI/CD Pipelines
4 Environments (Dev, QA, Staging, Prod)</t>
  </si>
  <si>
    <t>Blended Rate / Hour</t>
  </si>
  <si>
    <t>CMS: Multi-Tenant Admin
Templates
Localization
React UI Offline PDF 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</si>
</sst>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89999084444715716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 wrapText="1"/>
    </xf>
    <xf numFmtId="0" fontId="2" fillId="2" borderId="2" xfId="0" applyFont="1" applyFill="1" applyBorder="1" applyAlignment="1">
      <alignment horizontal="center" vertical="center" textRotation="90" wrapText="1"/>
    </xf>
    <xf numFmtId="0" fontId="2" fillId="3" borderId="2" xfId="0" applyFont="1" applyFill="1" applyBorder="1" applyAlignment="1">
      <alignment horizontal="center" vertical="center" textRotation="89" wrapText="1"/>
    </xf>
    <xf numFmtId="0" fontId="0" fillId="0" borderId="2" xfId="0" applyBorder="1" applyAlignment="1">
      <alignment horizontal="center" vertical="center" textRotation="89" wrapText="1"/>
    </xf>
    <xf numFmtId="0" fontId="2" fillId="4" borderId="3" xfId="0" applyFont="1" applyFill="1" applyBorder="1" applyAlignment="1">
      <alignment horizontal="center" vertical="center" textRotation="90" wrapText="1"/>
    </xf>
    <xf numFmtId="0" fontId="2" fillId="4" borderId="2" xfId="0" applyFont="1" applyFill="1" applyBorder="1" applyAlignment="1">
      <alignment horizontal="center" vertical="center" textRotation="90" wrapText="1"/>
    </xf>
    <xf numFmtId="0" fontId="0" fillId="5" borderId="4" xfId="0" applyFill="1" applyBorder="1" applyAlignment="1">
      <alignment vertical="top" wrapText="1"/>
    </xf>
    <xf numFmtId="0" fontId="0" fillId="5" borderId="6" xfId="0" applyFill="1" applyBorder="1" applyAlignment="1">
      <alignment vertical="top" wrapText="1"/>
    </xf>
    <xf numFmtId="0" fontId="0" fillId="5" borderId="7" xfId="0" applyFill="1" applyBorder="1" applyAlignment="1">
      <alignment vertical="top" wrapText="1"/>
    </xf>
    <xf numFmtId="0" fontId="0" fillId="5" borderId="8" xfId="0" applyFill="1" applyBorder="1" applyAlignment="1">
      <alignment vertical="top" wrapText="1"/>
    </xf>
    <xf numFmtId="0" fontId="0" fillId="5" borderId="0" xfId="0" applyFill="1" applyBorder="1" applyAlignment="1">
      <alignment vertical="top" wrapText="1"/>
    </xf>
    <xf numFmtId="0" fontId="0" fillId="5" borderId="9" xfId="0" applyFill="1" applyBorder="1" applyAlignment="1">
      <alignment vertical="top" wrapText="1"/>
    </xf>
    <xf numFmtId="0" fontId="0" fillId="5" borderId="10" xfId="0" applyFill="1" applyBorder="1" applyAlignment="1">
      <alignment vertical="top" wrapText="1"/>
    </xf>
    <xf numFmtId="0" fontId="0" fillId="5" borderId="11" xfId="0" applyFill="1" applyBorder="1" applyAlignment="1">
      <alignment vertical="top" wrapText="1"/>
    </xf>
    <xf numFmtId="0" fontId="0" fillId="5" borderId="12" xfId="0" applyFill="1" applyBorder="1" applyAlignment="1">
      <alignment vertical="top" wrapText="1"/>
    </xf>
    <xf numFmtId="0" fontId="2" fillId="5" borderId="13" xfId="0" applyFont="1" applyFill="1" applyBorder="1" applyAlignment="1">
      <alignment horizontal="center" vertical="top" wrapText="1"/>
    </xf>
    <xf numFmtId="0" fontId="2" fillId="5" borderId="14" xfId="0" applyFont="1" applyFill="1" applyBorder="1" applyAlignment="1">
      <alignment horizontal="center" vertical="top" wrapText="1"/>
    </xf>
    <xf numFmtId="0" fontId="0" fillId="0" borderId="5" xfId="0" applyBorder="1" applyAlignment="1">
      <alignment vertical="top" wrapText="1"/>
    </xf>
    <xf numFmtId="0" fontId="2" fillId="5" borderId="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selection activeCell="C6" sqref="C6"/>
    </sheetView>
  </sheetViews>
  <sheetFormatPr defaultRowHeight="14.25" x14ac:dyDescent="0.45"/>
  <cols>
    <col min="1" max="1" width="9.06640625" style="2"/>
    <col min="2" max="2" width="20.73046875" style="2" customWidth="1"/>
    <col min="3" max="3" width="87" style="2" bestFit="1" customWidth="1"/>
    <col min="4" max="6" width="9.06640625" style="2"/>
    <col min="7" max="7" width="24.3984375" style="2" customWidth="1"/>
    <col min="8" max="16384" width="9.06640625" style="2"/>
  </cols>
  <sheetData>
    <row r="1" spans="1:7" ht="14.65" thickBot="1" x14ac:dyDescent="0.5">
      <c r="A1" s="1"/>
      <c r="B1" s="18" t="s">
        <v>0</v>
      </c>
      <c r="C1" s="19" t="s">
        <v>1</v>
      </c>
      <c r="D1" s="19" t="s">
        <v>2</v>
      </c>
      <c r="E1" s="19" t="s">
        <v>3</v>
      </c>
      <c r="F1" s="19" t="s">
        <v>4</v>
      </c>
      <c r="G1" s="19" t="s">
        <v>5</v>
      </c>
    </row>
    <row r="2" spans="1:7" ht="28.9" thickBot="1" x14ac:dyDescent="0.5">
      <c r="B2" s="4" t="s">
        <v>6</v>
      </c>
      <c r="C2" s="20" t="s">
        <v>32</v>
      </c>
      <c r="D2" s="20">
        <v>60</v>
      </c>
      <c r="E2" s="20">
        <f>+D2*$E$26</f>
        <v>5400</v>
      </c>
      <c r="F2" s="20" t="s">
        <v>7</v>
      </c>
      <c r="G2" s="20"/>
    </row>
    <row r="3" spans="1:7" ht="43.15" thickBot="1" x14ac:dyDescent="0.5">
      <c r="B3" s="4"/>
      <c r="C3" s="20" t="s">
        <v>33</v>
      </c>
      <c r="D3" s="20">
        <v>170</v>
      </c>
      <c r="E3" s="20">
        <f>+D3*$E$26</f>
        <v>15300</v>
      </c>
      <c r="F3" s="20" t="s">
        <v>8</v>
      </c>
      <c r="G3" s="20" t="s">
        <v>9</v>
      </c>
    </row>
    <row r="4" spans="1:7" ht="86.25" customHeight="1" thickBot="1" x14ac:dyDescent="0.5">
      <c r="B4" s="4"/>
      <c r="C4" s="20" t="s">
        <v>40</v>
      </c>
      <c r="D4" s="20">
        <v>150</v>
      </c>
      <c r="E4" s="20">
        <f>+D4*$E$26</f>
        <v>13500</v>
      </c>
      <c r="F4" s="20" t="s">
        <v>11</v>
      </c>
      <c r="G4" s="20" t="s">
        <v>12</v>
      </c>
    </row>
    <row r="5" spans="1:7" ht="43.15" thickBot="1" x14ac:dyDescent="0.5">
      <c r="B5" s="5" t="s">
        <v>10</v>
      </c>
      <c r="C5" s="20" t="s">
        <v>34</v>
      </c>
      <c r="D5" s="20">
        <v>240</v>
      </c>
      <c r="E5" s="20">
        <f>+D5*$E$26</f>
        <v>21600</v>
      </c>
      <c r="F5" s="20" t="s">
        <v>13</v>
      </c>
      <c r="G5" s="20"/>
    </row>
    <row r="6" spans="1:7" ht="28.9" thickBot="1" x14ac:dyDescent="0.5">
      <c r="B6" s="5"/>
      <c r="C6" s="20" t="s">
        <v>35</v>
      </c>
      <c r="D6" s="20">
        <v>120</v>
      </c>
      <c r="E6" s="20">
        <f>+D6*$E$26</f>
        <v>10800</v>
      </c>
      <c r="F6" s="20" t="s">
        <v>13</v>
      </c>
      <c r="G6" s="20"/>
    </row>
    <row r="7" spans="1:7" ht="57.4" thickBot="1" x14ac:dyDescent="0.5">
      <c r="B7" s="5"/>
      <c r="C7" s="20" t="s">
        <v>42</v>
      </c>
      <c r="D7" s="20">
        <v>350</v>
      </c>
      <c r="E7" s="20">
        <f>+D7*$E$26</f>
        <v>31500</v>
      </c>
      <c r="F7" s="20" t="s">
        <v>14</v>
      </c>
      <c r="G7" s="20"/>
    </row>
    <row r="8" spans="1:7" ht="71.650000000000006" thickBot="1" x14ac:dyDescent="0.5">
      <c r="B8" s="5"/>
      <c r="C8" s="20" t="s">
        <v>36</v>
      </c>
      <c r="D8" s="20">
        <v>490</v>
      </c>
      <c r="E8" s="20">
        <f>+D8*$E$26</f>
        <v>44100</v>
      </c>
      <c r="F8" s="20" t="s">
        <v>15</v>
      </c>
      <c r="G8" s="20" t="s">
        <v>16</v>
      </c>
    </row>
    <row r="9" spans="1:7" ht="28.9" thickBot="1" x14ac:dyDescent="0.5">
      <c r="B9" s="5"/>
      <c r="C9" s="20" t="s">
        <v>37</v>
      </c>
      <c r="D9" s="20">
        <v>230</v>
      </c>
      <c r="E9" s="20">
        <f>+D9*$E$26</f>
        <v>20700</v>
      </c>
      <c r="F9" s="20" t="s">
        <v>14</v>
      </c>
      <c r="G9" s="20"/>
    </row>
    <row r="10" spans="1:7" ht="14.65" thickBot="1" x14ac:dyDescent="0.5">
      <c r="B10" s="6"/>
      <c r="C10" s="20" t="s">
        <v>17</v>
      </c>
      <c r="D10" s="20">
        <v>160</v>
      </c>
      <c r="E10" s="20">
        <f>+D10*$E$26</f>
        <v>14400</v>
      </c>
      <c r="F10" s="20" t="s">
        <v>18</v>
      </c>
      <c r="G10" s="20"/>
    </row>
    <row r="11" spans="1:7" ht="43.15" thickBot="1" x14ac:dyDescent="0.5">
      <c r="B11" s="7" t="s">
        <v>19</v>
      </c>
      <c r="C11" s="20" t="s">
        <v>38</v>
      </c>
      <c r="D11" s="20">
        <v>160</v>
      </c>
      <c r="E11" s="20">
        <f>+D11*$E$26</f>
        <v>14400</v>
      </c>
      <c r="F11" s="20" t="s">
        <v>20</v>
      </c>
      <c r="G11" s="20"/>
    </row>
    <row r="12" spans="1:7" ht="14.65" thickBot="1" x14ac:dyDescent="0.5">
      <c r="B12" s="8"/>
      <c r="C12" s="20" t="s">
        <v>21</v>
      </c>
      <c r="D12" s="20">
        <v>80</v>
      </c>
      <c r="E12" s="20">
        <f>+D12*$E$26</f>
        <v>7200</v>
      </c>
      <c r="F12" s="20" t="s">
        <v>22</v>
      </c>
      <c r="G12" s="20"/>
    </row>
    <row r="13" spans="1:7" ht="57.4" thickBot="1" x14ac:dyDescent="0.5">
      <c r="B13" s="8"/>
      <c r="C13" s="20" t="s">
        <v>39</v>
      </c>
      <c r="D13" s="20">
        <v>90</v>
      </c>
      <c r="E13" s="20">
        <f>+D13*$E$26</f>
        <v>8100</v>
      </c>
      <c r="F13" s="20" t="s">
        <v>23</v>
      </c>
      <c r="G13" s="20"/>
    </row>
    <row r="14" spans="1:7" x14ac:dyDescent="0.45">
      <c r="B14" s="9"/>
      <c r="C14" s="10"/>
      <c r="D14" s="10"/>
      <c r="E14" s="10">
        <f>+D14*$E$26</f>
        <v>0</v>
      </c>
      <c r="F14" s="10"/>
      <c r="G14" s="11"/>
    </row>
    <row r="15" spans="1:7" x14ac:dyDescent="0.45">
      <c r="B15" s="12"/>
      <c r="C15" s="21" t="s">
        <v>24</v>
      </c>
      <c r="D15" s="21">
        <v>2300</v>
      </c>
      <c r="E15" s="21">
        <f>+D15*$E$26</f>
        <v>207000</v>
      </c>
      <c r="F15" s="13"/>
      <c r="G15" s="14"/>
    </row>
    <row r="16" spans="1:7" x14ac:dyDescent="0.45">
      <c r="B16" s="12"/>
      <c r="C16" s="21" t="s">
        <v>25</v>
      </c>
      <c r="D16" s="21">
        <v>230</v>
      </c>
      <c r="E16" s="21">
        <f>+D16*$E$26</f>
        <v>20700</v>
      </c>
      <c r="F16" s="13"/>
      <c r="G16" s="14"/>
    </row>
    <row r="17" spans="2:7" x14ac:dyDescent="0.45">
      <c r="B17" s="12"/>
      <c r="C17" s="21" t="s">
        <v>26</v>
      </c>
      <c r="D17" s="21">
        <v>3730</v>
      </c>
      <c r="E17" s="21">
        <f>+D17*$E$26</f>
        <v>335700</v>
      </c>
      <c r="F17" s="13"/>
      <c r="G17" s="14"/>
    </row>
    <row r="18" spans="2:7" ht="14.65" thickBot="1" x14ac:dyDescent="0.5">
      <c r="B18" s="15"/>
      <c r="C18" s="16"/>
      <c r="D18" s="16"/>
      <c r="E18" s="16"/>
      <c r="F18" s="16"/>
      <c r="G18" s="17"/>
    </row>
    <row r="19" spans="2:7" x14ac:dyDescent="0.45">
      <c r="B19" s="2" t="s">
        <v>27</v>
      </c>
    </row>
    <row r="20" spans="2:7" x14ac:dyDescent="0.45">
      <c r="B20" s="3" t="s">
        <v>28</v>
      </c>
      <c r="C20" s="3"/>
      <c r="D20" s="3"/>
      <c r="E20" s="3"/>
      <c r="F20" s="3"/>
    </row>
    <row r="21" spans="2:7" x14ac:dyDescent="0.45">
      <c r="B21" s="3" t="s">
        <v>29</v>
      </c>
      <c r="C21" s="3"/>
      <c r="D21" s="3"/>
      <c r="E21" s="3"/>
    </row>
    <row r="22" spans="2:7" x14ac:dyDescent="0.45">
      <c r="B22" s="3" t="s">
        <v>30</v>
      </c>
      <c r="C22" s="3"/>
      <c r="D22" s="3"/>
      <c r="E22" s="3"/>
    </row>
    <row r="23" spans="2:7" x14ac:dyDescent="0.45">
      <c r="B23" s="3" t="s">
        <v>31</v>
      </c>
      <c r="C23" s="3"/>
      <c r="D23" s="3"/>
      <c r="E23" s="3"/>
    </row>
    <row r="26" spans="2:7" ht="42.75" x14ac:dyDescent="0.45">
      <c r="D26" s="2" t="s">
        <v>41</v>
      </c>
      <c r="E26" s="2">
        <v>90</v>
      </c>
    </row>
  </sheetData>
  <mergeCells count="7">
    <mergeCell ref="B20:F20"/>
    <mergeCell ref="B21:E21"/>
    <mergeCell ref="B22:E22"/>
    <mergeCell ref="B23:E23"/>
    <mergeCell ref="B2:B4"/>
    <mergeCell ref="B5:B10"/>
    <mergeCell ref="B11:B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Venkata Parasa</cp:lastModifiedBy>
  <dcterms:created xsi:type="dcterms:W3CDTF">2026-04-07T07:28:55Z</dcterms:created>
  <dcterms:modified xsi:type="dcterms:W3CDTF">2026-04-07T08:17:31Z</dcterms:modified>
</cp:coreProperties>
</file>