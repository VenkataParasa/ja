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ED02A440-EC98-400E-A40A-48BD61F03DA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alistic Est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/>
  <c r="C66" i="1" l="1"/>
  <c r="C68" i="1" s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71" i="1" l="1"/>
  <c r="D68" i="1"/>
</calcChain>
</file>

<file path=xl/sharedStrings.xml><?xml version="1.0" encoding="utf-8"?>
<sst xmlns="http://schemas.openxmlformats.org/spreadsheetml/2006/main" count="217" uniqueCount="187">
  <si>
    <t>Phase</t>
  </si>
  <si>
    <t>Feature (Module Area)</t>
  </si>
  <si>
    <t>Hours</t>
  </si>
  <si>
    <t>Cost (@ $85/hr)</t>
  </si>
  <si>
    <t>Team</t>
  </si>
  <si>
    <t>Comments / Q&amp;A Reference</t>
  </si>
  <si>
    <t>Phase 1: Core MVP</t>
  </si>
  <si>
    <t>Foundation - Requirements Analysis &amp; Technical Discovery</t>
  </si>
  <si>
    <t>PM, SA</t>
  </si>
  <si>
    <t>RFP + Q&amp;A review; user story mapping; acceptance criteria definition</t>
  </si>
  <si>
    <t>Foundation - Architecture &amp; DB Schema (10-15K user scale)</t>
  </si>
  <si>
    <t>SA</t>
  </si>
  <si>
    <t>Microservices topography; schema design for 60-70 concurrent simulations</t>
  </si>
  <si>
    <t>Foundation - Azure Cloud Env Setup &amp; CI/CD Pipelines (3 envs)</t>
  </si>
  <si>
    <t>DevOps</t>
  </si>
  <si>
    <t>Dev, Staging, Prod + branch preview envs; automated build, test, deploy</t>
  </si>
  <si>
    <t>Foundation - Local Developer Testing (Docker Compose service mesh)</t>
  </si>
  <si>
    <t>DevOps, BE</t>
  </si>
  <si>
    <t>All services containerized; local seed data; dev onboarding &lt; 1 day</t>
  </si>
  <si>
    <t>Foundation - Security Policy, Zero Trust &amp; Key Vault Setup</t>
  </si>
  <si>
    <t>SA, DevOps</t>
  </si>
  <si>
    <t>Managed Identities, internal mTLS, secret scanning, APIM threat policies</t>
  </si>
  <si>
    <t>Foundation - COPPA Data Anonymization Engine (30-day rule)</t>
  </si>
  <si>
    <t>BE, SA</t>
  </si>
  <si>
    <t>Q110: Scheduled job anonymizes student data post-simulation</t>
  </si>
  <si>
    <t>Designer</t>
  </si>
  <si>
    <t>Q79: B&amp;W wireframe review before visual design; all 6+ student roles covered</t>
  </si>
  <si>
    <t>Designer, FE</t>
  </si>
  <si>
    <t>Q18/Q40: 2.5D/isometric; 3rd grade reading level; state-of-art for age 9-12</t>
  </si>
  <si>
    <t>FE</t>
  </si>
  <si>
    <t>Q139/Q140: Portrait + landscape; tablet primary; laptop fallback; smooth UX</t>
  </si>
  <si>
    <t>Q22/Q38: Distinct functional UIs per role; custom business graphic from CMS</t>
  </si>
  <si>
    <t>Q24/Q48: Real-time business health; financial indicators; no forced-alert engine</t>
  </si>
  <si>
    <t>FE, BE</t>
  </si>
  <si>
    <t>Q37: Sim Managers, Volunteers, Educators, JA National with distinct permissions</t>
  </si>
  <si>
    <t>Dispatch real-time simulation triggers to all connected tablets simultaneously</t>
  </si>
  <si>
    <t>Q6/Q128: Local precedence; clone/duplicate Areas; version history; rollback</t>
  </si>
  <si>
    <t>Q13: Structured step-by-step; templates; text edit; image library; town display</t>
  </si>
  <si>
    <t>Q14/Q131: Mirror CFO device via Azure Web PubSub; no audio; resilient on WiFi</t>
  </si>
  <si>
    <t>Q17/Q45: Built-in DJ UI; wide A/V adaptability; live microphone announcements</t>
  </si>
  <si>
    <t>Students vote during simulation; real-time results; admin-triggered</t>
  </si>
  <si>
    <t>Q36/Q42: Business intro; first-time guided walkthroughs for POS/Loan/Billing</t>
  </si>
  <si>
    <t>Q64: Logo, color, text override per business; no custom sponsor code</t>
  </si>
  <si>
    <t>Q16: Character education UI; XP consequences displayed; CMS-configurable amounts</t>
  </si>
  <si>
    <t>Q48: Post-sim view for student self-reflection; educator review dashboard</t>
  </si>
  <si>
    <t>SA, BE</t>
  </si>
  <si>
    <t>Single entry; rate-limiting during peak shopping windows; payload transforms</t>
  </si>
  <si>
    <t>Q71/Q116: Session-auth per device; no individual student accounts or emails</t>
  </si>
  <si>
    <t>BE</t>
  </si>
  <si>
    <t>Q7/Q59: 500 txn/10-min; Redis idempotency; SQL ACID; debit + payroll + billing</t>
  </si>
  <si>
    <t>BE, FE, SA</t>
  </si>
  <si>
    <t>Q7/Q15/Q133: Core requirement; queue locally; reconcile on reconnect; no-PII keys</t>
  </si>
  <si>
    <t>Q31/Q62: Dynamic per-Area layouts; local Areas define businesses, roles, tasks</t>
  </si>
  <si>
    <t>Q16: MANDATORY. Ethical dilemmas; XP consequences; donation CMS config amounts</t>
  </si>
  <si>
    <t>Q137: 3-digit account swipe → POS; existing production model; iOS + Android</t>
  </si>
  <si>
    <t>Q51: JA provides action list; formula built collaboratively with JA team</t>
  </si>
  <si>
    <t>BE, Data</t>
  </si>
  <si>
    <t>Q72/Q122/Q123: Student, business, simulation reports; PDF shareable; BI-ready</t>
  </si>
  <si>
    <t>Q127: Students per business; popular choices; sales prices; ad assets per Area</t>
  </si>
  <si>
    <t>BE, DevOps</t>
  </si>
  <si>
    <t>Azure Web PubSub: town alerts; per-business updates; admin broadcast channel</t>
  </si>
  <si>
    <t>Q111/Q121: Admin audit 30d; user actions 7d; admin-only txn cancel; log export</t>
  </si>
  <si>
    <t>Q143: Full state resume mandatory; simulations CANNOT restart; RTO: 1-2 seconds</t>
  </si>
  <si>
    <t>Real-time ballot processing; business-level and town-wide vote types</t>
  </si>
  <si>
    <t>Q47/Q142: Sponsor logos; marketing image library; vendor dictates size/format</t>
  </si>
  <si>
    <t>Q101: Payroll = most software-intensive phase; CFO submits; distributes salaries</t>
  </si>
  <si>
    <t>Decouples banking from gamification, notifications, and reporting asynchronously</t>
  </si>
  <si>
    <t>QA</t>
  </si>
  <si>
    <t>All PRs trigger regression; banking + offline sync tests mandatory before merge</t>
  </si>
  <si>
    <t>QA, Designer</t>
  </si>
  <si>
    <t>Q8/Q46: JA has external auditor; vendor remediates and supports VPAT completion</t>
  </si>
  <si>
    <t>Sec, SA</t>
  </si>
  <si>
    <t>Threat modelling, API fuzzing, zero-trust validation, student PII protection</t>
  </si>
  <si>
    <t>QA, DevOps</t>
  </si>
  <si>
    <t>Q125/Q126: 10-15K concurrent users; 50-100 TPS spikes; shopping period simulation</t>
  </si>
  <si>
    <t>Q112/Q114: Area-owned devices; no standardized hardware; wide OS + browser range</t>
  </si>
  <si>
    <t>QA, BE</t>
  </si>
  <si>
    <t>Q115: 100 Mbps typical; validate local queue behavior under network interruption</t>
  </si>
  <si>
    <t>QA, FE, BE</t>
  </si>
  <si>
    <t>Structured UAT with JA advisory group + end users; 2 full UAT cycles minimum</t>
  </si>
  <si>
    <t>Q12: Frozen accounts; payroll + purchase contention; mid-transaction drops tested</t>
  </si>
  <si>
    <t>PM, DevOps</t>
  </si>
  <si>
    <t>Q74: App Store + MDM dual paths; Q83: JA provides Apple + Google Dev accounts</t>
  </si>
  <si>
    <t>Q42/Q66: In-depth manuals; education-focused non-technical staff audience</t>
  </si>
  <si>
    <t>FE, Designer</t>
  </si>
  <si>
    <t>Q68: JA expects vendor to provide all translated simulation content</t>
  </si>
  <si>
    <t>PM, QA, SA</t>
  </si>
  <si>
    <t>Q77/Q78: Vendor on-site for select pilots; instant availability for remainder</t>
  </si>
  <si>
    <t>FE, BE, QA</t>
  </si>
  <si>
    <t>Q9/Q81: Defects triaged vs enhancements; critical issues resolved pre-launch</t>
  </si>
  <si>
    <t>Q143: Full walkthrough of failure + resume; verify no data loss or txn gaps</t>
  </si>
  <si>
    <t>PM</t>
  </si>
  <si>
    <t>Q9: JA USA product + program leadership + functional stakeholders sign-off</t>
  </si>
  <si>
    <t>PM, BE, QA</t>
  </si>
  <si>
    <t>Q78: Vendor on-standby during first weeks of initial release</t>
  </si>
  <si>
    <t>Phase 2: Nice to Have</t>
  </si>
  <si>
    <t>AI - Slogan Generation (Azure OpenAI, scaffolded, 3-strike guardrails)</t>
  </si>
  <si>
    <t>BE, Designer</t>
  </si>
  <si>
    <t>Q20/Q136: Guided structured generation; limited options; content moderation filter</t>
  </si>
  <si>
    <t>AI - CEO Speech-to-Text Transcription &amp; In-Simulation Display</t>
  </si>
  <si>
    <t>BE, FE</t>
  </si>
  <si>
    <t>Q20: Transcription only; student writes speech; system transcribes + displays</t>
  </si>
  <si>
    <t>NFC Tap-to-Pay (iOS + Android cross-platform + graceful QR code fallback)</t>
  </si>
  <si>
    <t>FE, QA</t>
  </si>
  <si>
    <t>Q19/Q138: Nice-to-have; cross-platform NFC variability; graceful degradation</t>
  </si>
  <si>
    <t>Advanced Gamification - Inventory Depletion &amp; Supply Chain Logistics</t>
  </si>
  <si>
    <t>BE, QA</t>
  </si>
  <si>
    <t>Replaces unlimited stock assumption; real depletion math; demand-driven pricing</t>
  </si>
  <si>
    <t>Expanded Dedicated QA Environment (4th standalone regression cluster)</t>
  </si>
  <si>
    <t>Isolated env for automated regression and load test pipelines</t>
  </si>
  <si>
    <t>Sub-Total Dev Hours (Phase 1 + Phase 2)</t>
  </si>
  <si>
    <t>Contingency Buffer (10%)</t>
  </si>
  <si>
    <t>Planned risk buffer for scope creep, integration surprises, and unknowns</t>
  </si>
  <si>
    <t>PM / Delivery Management (11% of Dev+Contingency)</t>
  </si>
  <si>
    <t>Weekly sessions, milestone reviews, stakeholder sign-offs, pre-reads per Q10</t>
  </si>
  <si>
    <t>Year 1 Support - Hyper-Care &amp; Maintenance</t>
  </si>
  <si>
    <t>1 FTE</t>
  </si>
  <si>
    <t>Q5: 100% uptime M-F 8AM-7PM ET; alerts allow JA to manage with vendor escalation</t>
  </si>
  <si>
    <t>GRAND TOTAL</t>
  </si>
  <si>
    <t>Rate: $85/hr  |  Budget Reference: $1M cap per Q25</t>
  </si>
  <si>
    <t>Based on 160h/month</t>
  </si>
  <si>
    <t>Man Months (Full Engagement)</t>
  </si>
  <si>
    <t>Notes</t>
  </si>
  <si>
    <t>JA Confirmed Budget Cap: $1,000,000 (Q25)  |  This estimate is within that cap.</t>
  </si>
  <si>
    <t>SCOPE NOTES:</t>
  </si>
  <si>
    <t xml:space="preserve">  - Includes ALL Phase 1 (Core MVP) + ALL Phase 2 (Optional) features</t>
  </si>
  <si>
    <t xml:space="preserve">  - Phase 1 mandatory items confirmed by Q&amp;A: Business Scenarios (Q16), Offline Sync (Q7/Q133),</t>
  </si>
  <si>
    <t xml:space="preserve">    Canva Marketing Tool (Q13), CFO Screen Sharing (Q14), DJ Radio (Q17), Debit Card (Q137),</t>
  </si>
  <si>
    <t xml:space="preserve">    Data Anonymization (Q110), Spanish Localization (Q68), Voting Engine, Pilot Support (Q77)</t>
  </si>
  <si>
    <t xml:space="preserve">  - Phase 2 optional: AI Slogan/Speech (Q136), NFC (Q19), Advanced Supply Chain Math</t>
  </si>
  <si>
    <t xml:space="preserve">  - Paper fallback NOT included - not required if offline mode works (Q134)</t>
  </si>
  <si>
    <t xml:space="preserve">  - Budget cap confirmed at $1M for initial release (Q25)</t>
  </si>
  <si>
    <t xml:space="preserve">  - Hourly rate: $85/hr blended across all roles</t>
  </si>
  <si>
    <t>User Experience Design using Disgn Thinking</t>
  </si>
  <si>
    <t xml:space="preserve"> UI - UX Research, User Flows &amp; B&amp;W Wireframes (all roles)</t>
  </si>
  <si>
    <t xml:space="preserve"> UI - Visual Design System, Style Guide, 2.5D Mood Boards</t>
  </si>
  <si>
    <t xml:space="preserve"> UI - Core Tablet + Laptop App (Single PWA codebase, all states)</t>
  </si>
  <si>
    <t xml:space="preserve"> UI - Student Role UIs: POS, Payroll, Banking, Loan, Billing, Voting</t>
  </si>
  <si>
    <t xml:space="preserve"> UI - Teacher &amp; Volunteer Real-Time Monitoring Dashboard</t>
  </si>
  <si>
    <t xml:space="preserve"> UI - Admin Core: User Mgmt, Roles, Permissions, Moderation</t>
  </si>
  <si>
    <t xml:space="preserve"> UI - Admin Live Event Controllers (Tornado Alert, Town Hall, Pause)</t>
  </si>
  <si>
    <t xml:space="preserve"> UI - CMS Multi-Tenant: National Inheritance + Local Override + Clone</t>
  </si>
  <si>
    <t xml:space="preserve"> UI - Canva-Like Digital Marketing Tool (template + library + publish)</t>
  </si>
  <si>
    <t xml:space="preserve"> UI - CFO Real-Time Screen Sharing (14-20 concurrent biz sessions)</t>
  </si>
  <si>
    <t xml:space="preserve"> UI - DJ Radio Dashboard (Playlist control, Mic, A/V output)</t>
  </si>
  <si>
    <t xml:space="preserve"> UI - Voting Module UI (Civic engagement per simulation schedule)</t>
  </si>
  <si>
    <t xml:space="preserve"> UI - Team Building &amp; Onboarding Guided Flows</t>
  </si>
  <si>
    <t xml:space="preserve"> UI - Sponsor Logo + Color + Branding Upload (per business via CMS)</t>
  </si>
  <si>
    <t xml:space="preserve"> UI - Business Scenarios: Ethical Dilemma UX &amp; Donation Decision Flows</t>
  </si>
  <si>
    <t xml:space="preserve"> UI - Post-Simulation Student &amp; Teacher Reflection Report UI</t>
  </si>
  <si>
    <t xml:space="preserve"> API - APIM BFF (routing, rate-limiting, tablet vs desktop payloads)</t>
  </si>
  <si>
    <t xml:space="preserve"> API - Entra B2C + Session-Based JWT Auth (per-device, no student PII)</t>
  </si>
  <si>
    <t xml:space="preserve"> Event Bus - Azure Service Bus Topics, Subscriptions &amp; DLQ Handling</t>
  </si>
  <si>
    <t xml:space="preserve"> QA - Automated Test Suite (unit, integration, regression, CI-gated)</t>
  </si>
  <si>
    <t xml:space="preserve"> QA - WCAG 2.2 AA (all interfaces) + 3rd-Party Audit Coordination</t>
  </si>
  <si>
    <t xml:space="preserve"> QA - Security Hardening &amp; Penetration Testing (OWASP Top 10)</t>
  </si>
  <si>
    <t xml:space="preserve"> QA - Performance Engineering &amp; 60-70 Concurrent Simulation Load Test</t>
  </si>
  <si>
    <t xml:space="preserve"> QA - Cross-Device Testing (iPad, Android tablet, Chromebook, laptop)</t>
  </si>
  <si>
    <t xml:space="preserve"> QA - Offline &amp; Network Degradation Testing</t>
  </si>
  <si>
    <t xml:space="preserve"> QA - User Acceptance Testing + Iterative Bug Fix Cycles</t>
  </si>
  <si>
    <t xml:space="preserve"> QA - Real-Time Sync &amp; Transaction Conflict Stress Testing</t>
  </si>
  <si>
    <t xml:space="preserve"> Delivery - App Store (iOS + Android) &amp; MDM Distribution Setup</t>
  </si>
  <si>
    <t xml:space="preserve"> Delivery - Admin CMS Guide + Simulation User Guide (non-tech JA staff)</t>
  </si>
  <si>
    <t xml:space="preserve"> Delivery - Spanish Localization (vendor-provided per Q68)</t>
  </si>
  <si>
    <t xml:space="preserve"> Delivery - Pilot On-Site Support (select JA Area live sessions)</t>
  </si>
  <si>
    <t xml:space="preserve"> Delivery - Post-Pilot Remediation Sprint (10-15 JA Areas feedback)</t>
  </si>
  <si>
    <t xml:space="preserve"> Delivery - DR Testing, Simulation State Recovery Validation</t>
  </si>
  <si>
    <t xml:space="preserve"> Delivery - Go-Live Readiness &amp; Stakeholder Sign-Off Coordination</t>
  </si>
  <si>
    <t xml:space="preserve"> Delivery - First-Week Post-Launch Hypercare (instant availability)</t>
  </si>
  <si>
    <t xml:space="preserve"> Business - Transaction &amp; Ledger Service (50-100 TPS, Idempotency, ACID)</t>
  </si>
  <si>
    <t xml:space="preserve"> Business - Offline Local-First Queue + Sync + Conflict Resolution</t>
  </si>
  <si>
    <t xml:space="preserve"> Business - Configuration &amp; Town Map Service (Cosmos DB flexible schema)</t>
  </si>
  <si>
    <t xml:space="preserve"> Business - Business Scenarios &amp; Character Education Engine</t>
  </si>
  <si>
    <t xml:space="preserve"> Business - Physical Debit Card Reader SDK Integration</t>
  </si>
  <si>
    <t xml:space="preserve"> Business - Gamification + XP Engine (JA co-designed formula)</t>
  </si>
  <si>
    <t xml:space="preserve"> Business - Reporting Service (in-app + PDF + Power BI export)</t>
  </si>
  <si>
    <t xml:space="preserve"> Business - Sponsor Tracking &amp; Yearly Analytics Service</t>
  </si>
  <si>
    <t xml:space="preserve"> Business - Notification &amp; WebSocket Service (room-scoped events)</t>
  </si>
  <si>
    <t xml:space="preserve"> Business - Audit Log, Transaction Cancellation &amp; Admin Override</t>
  </si>
  <si>
    <t xml:space="preserve"> Business - Disaster Recovery, Full Simulation State Save &amp; Resume</t>
  </si>
  <si>
    <t xml:space="preserve"> Business - Voting Service (civic simulation ballot + results engine)</t>
  </si>
  <si>
    <t xml:space="preserve"> Business - CMS Asset Pipeline (logo uploads, image library, CDN delivery)</t>
  </si>
  <si>
    <t xml:space="preserve"> Business - Payroll Engine (CFO submission, student salary credit)</t>
  </si>
  <si>
    <t>To be updated by Kyle</t>
  </si>
  <si>
    <t>Including  PM, and support</t>
  </si>
  <si>
    <t>Y1 Support: 1200 hrs  |  TOTAL: 11101.2  hrs  |  TOTAL COST: $943,602</t>
  </si>
  <si>
    <t xml:space="preserve">REALISTIC ESTIMATE  |  Rate: $85/hr (blended)  |  Dev: 8920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</si>
</sst>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textRotation="89" wrapText="1"/>
    </xf>
    <xf numFmtId="0" fontId="1" fillId="2" borderId="2" xfId="0" applyFont="1" applyFill="1" applyBorder="1" applyAlignment="1">
      <alignment horizontal="center" vertical="center" textRotation="89" wrapText="1"/>
    </xf>
    <xf numFmtId="0" fontId="0" fillId="0" borderId="2" xfId="0" applyBorder="1" applyAlignment="1">
      <alignment horizontal="center" vertical="center" textRotation="89" wrapText="1"/>
    </xf>
    <xf numFmtId="0" fontId="0" fillId="0" borderId="3" xfId="0" applyBorder="1" applyAlignment="1">
      <alignment horizontal="center" vertical="center" textRotation="89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0" fillId="0" borderId="9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58" workbookViewId="0">
      <selection activeCell="B68" sqref="B68"/>
    </sheetView>
  </sheetViews>
  <sheetFormatPr defaultRowHeight="14.25" x14ac:dyDescent="0.45"/>
  <cols>
    <col min="2" max="2" width="67.3984375" bestFit="1" customWidth="1"/>
    <col min="4" max="4" width="13.73046875" bestFit="1" customWidth="1"/>
    <col min="5" max="5" width="11" bestFit="1" customWidth="1"/>
    <col min="6" max="6" width="70.06640625" bestFit="1" customWidth="1"/>
  </cols>
  <sheetData>
    <row r="1" spans="1:6" ht="14.65" thickBot="1" x14ac:dyDescent="0.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4.25" customHeight="1" thickBot="1" x14ac:dyDescent="0.5">
      <c r="A2" s="1" t="s">
        <v>6</v>
      </c>
      <c r="B2" s="19" t="s">
        <v>7</v>
      </c>
      <c r="C2" s="19">
        <v>60</v>
      </c>
      <c r="D2" s="19">
        <f>+C2*$D$77</f>
        <v>5100</v>
      </c>
      <c r="E2" s="19" t="s">
        <v>8</v>
      </c>
      <c r="F2" s="19" t="s">
        <v>9</v>
      </c>
    </row>
    <row r="3" spans="1:6" ht="14.65" thickBot="1" x14ac:dyDescent="0.5">
      <c r="A3" s="2"/>
      <c r="B3" s="19" t="s">
        <v>10</v>
      </c>
      <c r="C3" s="19">
        <v>90</v>
      </c>
      <c r="D3" s="19">
        <f>+C3*$D$77</f>
        <v>7650</v>
      </c>
      <c r="E3" s="19" t="s">
        <v>11</v>
      </c>
      <c r="F3" s="19" t="s">
        <v>12</v>
      </c>
    </row>
    <row r="4" spans="1:6" ht="14.65" thickBot="1" x14ac:dyDescent="0.5">
      <c r="A4" s="2"/>
      <c r="B4" s="19" t="s">
        <v>13</v>
      </c>
      <c r="C4" s="19">
        <v>110</v>
      </c>
      <c r="D4" s="19">
        <f>+C4*$D$77</f>
        <v>9350</v>
      </c>
      <c r="E4" s="19" t="s">
        <v>14</v>
      </c>
      <c r="F4" s="19" t="s">
        <v>15</v>
      </c>
    </row>
    <row r="5" spans="1:6" ht="14.65" thickBot="1" x14ac:dyDescent="0.5">
      <c r="A5" s="2"/>
      <c r="B5" s="19" t="s">
        <v>16</v>
      </c>
      <c r="C5" s="19">
        <v>50</v>
      </c>
      <c r="D5" s="19">
        <f>+C5*$D$77</f>
        <v>4250</v>
      </c>
      <c r="E5" s="19" t="s">
        <v>17</v>
      </c>
      <c r="F5" s="19" t="s">
        <v>18</v>
      </c>
    </row>
    <row r="6" spans="1:6" ht="14.65" thickBot="1" x14ac:dyDescent="0.5">
      <c r="A6" s="2"/>
      <c r="B6" s="19" t="s">
        <v>19</v>
      </c>
      <c r="C6" s="19">
        <v>60</v>
      </c>
      <c r="D6" s="19">
        <f>+C6*$D$77</f>
        <v>5100</v>
      </c>
      <c r="E6" s="19" t="s">
        <v>20</v>
      </c>
      <c r="F6" s="19" t="s">
        <v>21</v>
      </c>
    </row>
    <row r="7" spans="1:6" ht="14.65" thickBot="1" x14ac:dyDescent="0.5">
      <c r="A7" s="2"/>
      <c r="B7" s="19" t="s">
        <v>22</v>
      </c>
      <c r="C7" s="19">
        <v>50</v>
      </c>
      <c r="D7" s="19">
        <f>+C7*$D$77</f>
        <v>4250</v>
      </c>
      <c r="E7" s="19" t="s">
        <v>23</v>
      </c>
      <c r="F7" s="19" t="s">
        <v>24</v>
      </c>
    </row>
    <row r="8" spans="1:6" ht="14.65" thickBot="1" x14ac:dyDescent="0.5">
      <c r="A8" s="2"/>
      <c r="B8" s="19" t="s">
        <v>133</v>
      </c>
      <c r="C8" s="19">
        <v>800</v>
      </c>
      <c r="D8" s="19">
        <f>+C8*$D$77</f>
        <v>68000</v>
      </c>
      <c r="E8" s="19" t="s">
        <v>25</v>
      </c>
      <c r="F8" s="19" t="s">
        <v>183</v>
      </c>
    </row>
    <row r="9" spans="1:6" ht="14.65" thickBot="1" x14ac:dyDescent="0.5">
      <c r="A9" s="2"/>
      <c r="B9" s="19" t="s">
        <v>134</v>
      </c>
      <c r="C9" s="19">
        <v>180</v>
      </c>
      <c r="D9" s="19">
        <f>+C9*$D$77</f>
        <v>15300</v>
      </c>
      <c r="E9" s="19" t="s">
        <v>25</v>
      </c>
      <c r="F9" s="19" t="s">
        <v>26</v>
      </c>
    </row>
    <row r="10" spans="1:6" ht="14.65" thickBot="1" x14ac:dyDescent="0.5">
      <c r="A10" s="2"/>
      <c r="B10" s="19" t="s">
        <v>135</v>
      </c>
      <c r="C10" s="19">
        <v>200</v>
      </c>
      <c r="D10" s="19">
        <f>+C10*$D$77</f>
        <v>17000</v>
      </c>
      <c r="E10" s="19" t="s">
        <v>27</v>
      </c>
      <c r="F10" s="19" t="s">
        <v>28</v>
      </c>
    </row>
    <row r="11" spans="1:6" ht="14.65" thickBot="1" x14ac:dyDescent="0.5">
      <c r="A11" s="2"/>
      <c r="B11" s="19" t="s">
        <v>136</v>
      </c>
      <c r="C11" s="19">
        <v>380</v>
      </c>
      <c r="D11" s="19">
        <f>+C11*$D$77</f>
        <v>32300</v>
      </c>
      <c r="E11" s="19" t="s">
        <v>29</v>
      </c>
      <c r="F11" s="19" t="s">
        <v>30</v>
      </c>
    </row>
    <row r="12" spans="1:6" ht="14.65" thickBot="1" x14ac:dyDescent="0.5">
      <c r="A12" s="3"/>
      <c r="B12" s="19" t="s">
        <v>137</v>
      </c>
      <c r="C12" s="19">
        <v>290</v>
      </c>
      <c r="D12" s="19">
        <f>+C12*$D$77</f>
        <v>24650</v>
      </c>
      <c r="E12" s="19" t="s">
        <v>29</v>
      </c>
      <c r="F12" s="19" t="s">
        <v>31</v>
      </c>
    </row>
    <row r="13" spans="1:6" ht="14.65" thickBot="1" x14ac:dyDescent="0.5">
      <c r="A13" s="3"/>
      <c r="B13" s="19" t="s">
        <v>138</v>
      </c>
      <c r="C13" s="19">
        <v>120</v>
      </c>
      <c r="D13" s="19">
        <f>+C13*$D$77</f>
        <v>10200</v>
      </c>
      <c r="E13" s="19" t="s">
        <v>29</v>
      </c>
      <c r="F13" s="19" t="s">
        <v>32</v>
      </c>
    </row>
    <row r="14" spans="1:6" ht="14.65" thickBot="1" x14ac:dyDescent="0.5">
      <c r="A14" s="3"/>
      <c r="B14" s="19" t="s">
        <v>139</v>
      </c>
      <c r="C14" s="19">
        <v>170</v>
      </c>
      <c r="D14" s="19">
        <f>+C14*$D$77</f>
        <v>14450</v>
      </c>
      <c r="E14" s="19" t="s">
        <v>33</v>
      </c>
      <c r="F14" s="19" t="s">
        <v>34</v>
      </c>
    </row>
    <row r="15" spans="1:6" ht="14.65" thickBot="1" x14ac:dyDescent="0.5">
      <c r="A15" s="3"/>
      <c r="B15" s="19" t="s">
        <v>140</v>
      </c>
      <c r="C15" s="19">
        <v>90</v>
      </c>
      <c r="D15" s="19">
        <f>+C15*$D$77</f>
        <v>7650</v>
      </c>
      <c r="E15" s="19" t="s">
        <v>33</v>
      </c>
      <c r="F15" s="19" t="s">
        <v>35</v>
      </c>
    </row>
    <row r="16" spans="1:6" ht="14.65" thickBot="1" x14ac:dyDescent="0.5">
      <c r="A16" s="3"/>
      <c r="B16" s="19" t="s">
        <v>141</v>
      </c>
      <c r="C16" s="19">
        <v>320</v>
      </c>
      <c r="D16" s="19">
        <f>+C16*$D$77</f>
        <v>27200</v>
      </c>
      <c r="E16" s="19" t="s">
        <v>33</v>
      </c>
      <c r="F16" s="19" t="s">
        <v>36</v>
      </c>
    </row>
    <row r="17" spans="1:6" ht="14.65" thickBot="1" x14ac:dyDescent="0.5">
      <c r="A17" s="3"/>
      <c r="B17" s="19" t="s">
        <v>142</v>
      </c>
      <c r="C17" s="19">
        <v>200</v>
      </c>
      <c r="D17" s="19">
        <f>+C17*$D$77</f>
        <v>17000</v>
      </c>
      <c r="E17" s="19" t="s">
        <v>33</v>
      </c>
      <c r="F17" s="19" t="s">
        <v>37</v>
      </c>
    </row>
    <row r="18" spans="1:6" ht="14.65" thickBot="1" x14ac:dyDescent="0.5">
      <c r="A18" s="3"/>
      <c r="B18" s="19" t="s">
        <v>143</v>
      </c>
      <c r="C18" s="19">
        <v>130</v>
      </c>
      <c r="D18" s="19">
        <f>+C18*$D$77</f>
        <v>11050</v>
      </c>
      <c r="E18" s="19" t="s">
        <v>33</v>
      </c>
      <c r="F18" s="19" t="s">
        <v>38</v>
      </c>
    </row>
    <row r="19" spans="1:6" ht="14.65" thickBot="1" x14ac:dyDescent="0.5">
      <c r="A19" s="3"/>
      <c r="B19" s="19" t="s">
        <v>144</v>
      </c>
      <c r="C19" s="19">
        <v>90</v>
      </c>
      <c r="D19" s="19">
        <f>+C19*$D$77</f>
        <v>7650</v>
      </c>
      <c r="E19" s="19" t="s">
        <v>29</v>
      </c>
      <c r="F19" s="19" t="s">
        <v>39</v>
      </c>
    </row>
    <row r="20" spans="1:6" ht="14.65" thickBot="1" x14ac:dyDescent="0.5">
      <c r="A20" s="3"/>
      <c r="B20" s="19" t="s">
        <v>145</v>
      </c>
      <c r="C20" s="19">
        <v>60</v>
      </c>
      <c r="D20" s="19">
        <f>+C20*$D$77</f>
        <v>5100</v>
      </c>
      <c r="E20" s="19" t="s">
        <v>29</v>
      </c>
      <c r="F20" s="19" t="s">
        <v>40</v>
      </c>
    </row>
    <row r="21" spans="1:6" ht="14.65" thickBot="1" x14ac:dyDescent="0.5">
      <c r="A21" s="3"/>
      <c r="B21" s="19" t="s">
        <v>146</v>
      </c>
      <c r="C21" s="19">
        <v>60</v>
      </c>
      <c r="D21" s="19">
        <f>+C21*$D$77</f>
        <v>5100</v>
      </c>
      <c r="E21" s="19" t="s">
        <v>29</v>
      </c>
      <c r="F21" s="19" t="s">
        <v>41</v>
      </c>
    </row>
    <row r="22" spans="1:6" ht="14.65" thickBot="1" x14ac:dyDescent="0.5">
      <c r="A22" s="3"/>
      <c r="B22" s="19" t="s">
        <v>147</v>
      </c>
      <c r="C22" s="19">
        <v>50</v>
      </c>
      <c r="D22" s="19">
        <f>+C22*$D$77</f>
        <v>4250</v>
      </c>
      <c r="E22" s="19" t="s">
        <v>33</v>
      </c>
      <c r="F22" s="19" t="s">
        <v>42</v>
      </c>
    </row>
    <row r="23" spans="1:6" ht="14.65" thickBot="1" x14ac:dyDescent="0.5">
      <c r="A23" s="3"/>
      <c r="B23" s="19" t="s">
        <v>148</v>
      </c>
      <c r="C23" s="19">
        <v>80</v>
      </c>
      <c r="D23" s="19">
        <f>+C23*$D$77</f>
        <v>6800</v>
      </c>
      <c r="E23" s="19" t="s">
        <v>29</v>
      </c>
      <c r="F23" s="19" t="s">
        <v>43</v>
      </c>
    </row>
    <row r="24" spans="1:6" ht="14.65" thickBot="1" x14ac:dyDescent="0.5">
      <c r="A24" s="3"/>
      <c r="B24" s="19" t="s">
        <v>149</v>
      </c>
      <c r="C24" s="19">
        <v>60</v>
      </c>
      <c r="D24" s="19">
        <f>+C24*$D$77</f>
        <v>5100</v>
      </c>
      <c r="E24" s="19" t="s">
        <v>29</v>
      </c>
      <c r="F24" s="19" t="s">
        <v>44</v>
      </c>
    </row>
    <row r="25" spans="1:6" ht="14.65" thickBot="1" x14ac:dyDescent="0.5">
      <c r="A25" s="3"/>
      <c r="B25" s="19" t="s">
        <v>150</v>
      </c>
      <c r="C25" s="19">
        <v>90</v>
      </c>
      <c r="D25" s="19">
        <f>+C25*$D$77</f>
        <v>7650</v>
      </c>
      <c r="E25" s="19" t="s">
        <v>45</v>
      </c>
      <c r="F25" s="19" t="s">
        <v>46</v>
      </c>
    </row>
    <row r="26" spans="1:6" ht="14.65" thickBot="1" x14ac:dyDescent="0.5">
      <c r="A26" s="3"/>
      <c r="B26" s="19" t="s">
        <v>151</v>
      </c>
      <c r="C26" s="19">
        <v>60</v>
      </c>
      <c r="D26" s="19">
        <f>+C26*$D$77</f>
        <v>5100</v>
      </c>
      <c r="E26" s="19" t="s">
        <v>45</v>
      </c>
      <c r="F26" s="19" t="s">
        <v>47</v>
      </c>
    </row>
    <row r="27" spans="1:6" ht="14.65" thickBot="1" x14ac:dyDescent="0.5">
      <c r="A27" s="3"/>
      <c r="B27" s="19" t="s">
        <v>169</v>
      </c>
      <c r="C27" s="19">
        <v>360</v>
      </c>
      <c r="D27" s="19">
        <f>+C27*$D$77</f>
        <v>30600</v>
      </c>
      <c r="E27" s="19" t="s">
        <v>48</v>
      </c>
      <c r="F27" s="19" t="s">
        <v>49</v>
      </c>
    </row>
    <row r="28" spans="1:6" ht="14.65" thickBot="1" x14ac:dyDescent="0.5">
      <c r="A28" s="3"/>
      <c r="B28" s="19" t="s">
        <v>170</v>
      </c>
      <c r="C28" s="19">
        <v>260</v>
      </c>
      <c r="D28" s="19">
        <f>+C28*$D$77</f>
        <v>22100</v>
      </c>
      <c r="E28" s="19" t="s">
        <v>50</v>
      </c>
      <c r="F28" s="19" t="s">
        <v>51</v>
      </c>
    </row>
    <row r="29" spans="1:6" ht="14.65" thickBot="1" x14ac:dyDescent="0.5">
      <c r="A29" s="3"/>
      <c r="B29" s="19" t="s">
        <v>171</v>
      </c>
      <c r="C29" s="19">
        <v>100</v>
      </c>
      <c r="D29" s="19">
        <f>+C29*$D$77</f>
        <v>8500</v>
      </c>
      <c r="E29" s="19" t="s">
        <v>48</v>
      </c>
      <c r="F29" s="19" t="s">
        <v>52</v>
      </c>
    </row>
    <row r="30" spans="1:6" ht="14.65" thickBot="1" x14ac:dyDescent="0.5">
      <c r="A30" s="3"/>
      <c r="B30" s="19" t="s">
        <v>172</v>
      </c>
      <c r="C30" s="19">
        <v>140</v>
      </c>
      <c r="D30" s="19">
        <f>+C30*$D$77</f>
        <v>11900</v>
      </c>
      <c r="E30" s="19" t="s">
        <v>48</v>
      </c>
      <c r="F30" s="19" t="s">
        <v>53</v>
      </c>
    </row>
    <row r="31" spans="1:6" ht="14.65" thickBot="1" x14ac:dyDescent="0.5">
      <c r="A31" s="3"/>
      <c r="B31" s="19" t="s">
        <v>173</v>
      </c>
      <c r="C31" s="19">
        <v>90</v>
      </c>
      <c r="D31" s="19">
        <f>+C31*$D$77</f>
        <v>7650</v>
      </c>
      <c r="E31" s="19" t="s">
        <v>33</v>
      </c>
      <c r="F31" s="19" t="s">
        <v>54</v>
      </c>
    </row>
    <row r="32" spans="1:6" ht="14.65" thickBot="1" x14ac:dyDescent="0.5">
      <c r="A32" s="3"/>
      <c r="B32" s="19" t="s">
        <v>174</v>
      </c>
      <c r="C32" s="19">
        <v>130</v>
      </c>
      <c r="D32" s="19">
        <f>+C32*$D$77</f>
        <v>11050</v>
      </c>
      <c r="E32" s="19" t="s">
        <v>48</v>
      </c>
      <c r="F32" s="19" t="s">
        <v>55</v>
      </c>
    </row>
    <row r="33" spans="1:6" ht="14.65" thickBot="1" x14ac:dyDescent="0.5">
      <c r="A33" s="3"/>
      <c r="B33" s="19" t="s">
        <v>175</v>
      </c>
      <c r="C33" s="19">
        <v>190</v>
      </c>
      <c r="D33" s="19">
        <f>+C33*$D$77</f>
        <v>16150</v>
      </c>
      <c r="E33" s="19" t="s">
        <v>56</v>
      </c>
      <c r="F33" s="19" t="s">
        <v>57</v>
      </c>
    </row>
    <row r="34" spans="1:6" ht="14.65" thickBot="1" x14ac:dyDescent="0.5">
      <c r="A34" s="3"/>
      <c r="B34" s="19" t="s">
        <v>176</v>
      </c>
      <c r="C34" s="19">
        <v>80</v>
      </c>
      <c r="D34" s="19">
        <f>+C34*$D$77</f>
        <v>6800</v>
      </c>
      <c r="E34" s="19" t="s">
        <v>56</v>
      </c>
      <c r="F34" s="19" t="s">
        <v>58</v>
      </c>
    </row>
    <row r="35" spans="1:6" ht="14.65" thickBot="1" x14ac:dyDescent="0.5">
      <c r="A35" s="3"/>
      <c r="B35" s="19" t="s">
        <v>177</v>
      </c>
      <c r="C35" s="19">
        <v>80</v>
      </c>
      <c r="D35" s="19">
        <f>+C35*$D$77</f>
        <v>6800</v>
      </c>
      <c r="E35" s="19" t="s">
        <v>59</v>
      </c>
      <c r="F35" s="19" t="s">
        <v>60</v>
      </c>
    </row>
    <row r="36" spans="1:6" ht="14.65" thickBot="1" x14ac:dyDescent="0.5">
      <c r="A36" s="3"/>
      <c r="B36" s="19" t="s">
        <v>178</v>
      </c>
      <c r="C36" s="19">
        <v>80</v>
      </c>
      <c r="D36" s="19">
        <f>+C36*$D$77</f>
        <v>6800</v>
      </c>
      <c r="E36" s="19" t="s">
        <v>48</v>
      </c>
      <c r="F36" s="19" t="s">
        <v>61</v>
      </c>
    </row>
    <row r="37" spans="1:6" ht="14.65" thickBot="1" x14ac:dyDescent="0.5">
      <c r="A37" s="3"/>
      <c r="B37" s="19" t="s">
        <v>179</v>
      </c>
      <c r="C37" s="19">
        <v>130</v>
      </c>
      <c r="D37" s="19">
        <f>+C37*$D$77</f>
        <v>11050</v>
      </c>
      <c r="E37" s="19" t="s">
        <v>59</v>
      </c>
      <c r="F37" s="19" t="s">
        <v>62</v>
      </c>
    </row>
    <row r="38" spans="1:6" ht="14.65" thickBot="1" x14ac:dyDescent="0.5">
      <c r="A38" s="3"/>
      <c r="B38" s="19" t="s">
        <v>180</v>
      </c>
      <c r="C38" s="19">
        <v>80</v>
      </c>
      <c r="D38" s="19">
        <f>+C38*$D$77</f>
        <v>6800</v>
      </c>
      <c r="E38" s="19" t="s">
        <v>48</v>
      </c>
      <c r="F38" s="19" t="s">
        <v>63</v>
      </c>
    </row>
    <row r="39" spans="1:6" ht="14.65" thickBot="1" x14ac:dyDescent="0.5">
      <c r="A39" s="3"/>
      <c r="B39" s="19" t="s">
        <v>181</v>
      </c>
      <c r="C39" s="19">
        <v>80</v>
      </c>
      <c r="D39" s="19">
        <f>+C39*$D$77</f>
        <v>6800</v>
      </c>
      <c r="E39" s="19" t="s">
        <v>59</v>
      </c>
      <c r="F39" s="19" t="s">
        <v>64</v>
      </c>
    </row>
    <row r="40" spans="1:6" ht="14.65" thickBot="1" x14ac:dyDescent="0.5">
      <c r="A40" s="3"/>
      <c r="B40" s="19" t="s">
        <v>182</v>
      </c>
      <c r="C40" s="19">
        <v>70</v>
      </c>
      <c r="D40" s="19">
        <f>+C40*$D$77</f>
        <v>5950</v>
      </c>
      <c r="E40" s="19" t="s">
        <v>48</v>
      </c>
      <c r="F40" s="19" t="s">
        <v>65</v>
      </c>
    </row>
    <row r="41" spans="1:6" ht="14.65" thickBot="1" x14ac:dyDescent="0.5">
      <c r="A41" s="3"/>
      <c r="B41" s="19" t="s">
        <v>152</v>
      </c>
      <c r="C41" s="19">
        <v>80</v>
      </c>
      <c r="D41" s="19">
        <f>+C41*$D$77</f>
        <v>6800</v>
      </c>
      <c r="E41" s="19" t="s">
        <v>17</v>
      </c>
      <c r="F41" s="19" t="s">
        <v>66</v>
      </c>
    </row>
    <row r="42" spans="1:6" ht="14.65" thickBot="1" x14ac:dyDescent="0.5">
      <c r="A42" s="3"/>
      <c r="B42" s="19" t="s">
        <v>153</v>
      </c>
      <c r="C42" s="19">
        <v>280</v>
      </c>
      <c r="D42" s="19">
        <f>+C42*$D$77</f>
        <v>23800</v>
      </c>
      <c r="E42" s="19" t="s">
        <v>67</v>
      </c>
      <c r="F42" s="19" t="s">
        <v>68</v>
      </c>
    </row>
    <row r="43" spans="1:6" ht="14.65" thickBot="1" x14ac:dyDescent="0.5">
      <c r="A43" s="3"/>
      <c r="B43" s="19" t="s">
        <v>154</v>
      </c>
      <c r="C43" s="19">
        <v>130</v>
      </c>
      <c r="D43" s="19">
        <f>+C43*$D$77</f>
        <v>11050</v>
      </c>
      <c r="E43" s="19" t="s">
        <v>69</v>
      </c>
      <c r="F43" s="19" t="s">
        <v>70</v>
      </c>
    </row>
    <row r="44" spans="1:6" ht="14.65" thickBot="1" x14ac:dyDescent="0.5">
      <c r="A44" s="3"/>
      <c r="B44" s="19" t="s">
        <v>155</v>
      </c>
      <c r="C44" s="19">
        <v>200</v>
      </c>
      <c r="D44" s="19">
        <f>+C44*$D$77</f>
        <v>17000</v>
      </c>
      <c r="E44" s="19" t="s">
        <v>71</v>
      </c>
      <c r="F44" s="19" t="s">
        <v>72</v>
      </c>
    </row>
    <row r="45" spans="1:6" ht="14.65" thickBot="1" x14ac:dyDescent="0.5">
      <c r="A45" s="3"/>
      <c r="B45" s="19" t="s">
        <v>156</v>
      </c>
      <c r="C45" s="19">
        <v>220</v>
      </c>
      <c r="D45" s="19">
        <f>+C45*$D$77</f>
        <v>18700</v>
      </c>
      <c r="E45" s="19" t="s">
        <v>73</v>
      </c>
      <c r="F45" s="19" t="s">
        <v>74</v>
      </c>
    </row>
    <row r="46" spans="1:6" ht="14.65" thickBot="1" x14ac:dyDescent="0.5">
      <c r="A46" s="3"/>
      <c r="B46" s="19" t="s">
        <v>157</v>
      </c>
      <c r="C46" s="19">
        <v>130</v>
      </c>
      <c r="D46" s="19">
        <f>+C46*$D$77</f>
        <v>11050</v>
      </c>
      <c r="E46" s="19" t="s">
        <v>67</v>
      </c>
      <c r="F46" s="19" t="s">
        <v>75</v>
      </c>
    </row>
    <row r="47" spans="1:6" ht="14.65" thickBot="1" x14ac:dyDescent="0.5">
      <c r="A47" s="3"/>
      <c r="B47" s="19" t="s">
        <v>158</v>
      </c>
      <c r="C47" s="19">
        <v>130</v>
      </c>
      <c r="D47" s="19">
        <f>+C47*$D$77</f>
        <v>11050</v>
      </c>
      <c r="E47" s="19" t="s">
        <v>76</v>
      </c>
      <c r="F47" s="19" t="s">
        <v>77</v>
      </c>
    </row>
    <row r="48" spans="1:6" ht="14.65" thickBot="1" x14ac:dyDescent="0.5">
      <c r="A48" s="3"/>
      <c r="B48" s="19" t="s">
        <v>159</v>
      </c>
      <c r="C48" s="19">
        <v>180</v>
      </c>
      <c r="D48" s="19">
        <f>+C48*$D$77</f>
        <v>15300</v>
      </c>
      <c r="E48" s="19" t="s">
        <v>78</v>
      </c>
      <c r="F48" s="19" t="s">
        <v>79</v>
      </c>
    </row>
    <row r="49" spans="1:6" ht="14.65" thickBot="1" x14ac:dyDescent="0.5">
      <c r="A49" s="3"/>
      <c r="B49" s="19" t="s">
        <v>160</v>
      </c>
      <c r="C49" s="19">
        <v>100</v>
      </c>
      <c r="D49" s="19">
        <f>+C49*$D$77</f>
        <v>8500</v>
      </c>
      <c r="E49" s="19" t="s">
        <v>76</v>
      </c>
      <c r="F49" s="19" t="s">
        <v>80</v>
      </c>
    </row>
    <row r="50" spans="1:6" ht="14.65" thickBot="1" x14ac:dyDescent="0.5">
      <c r="A50" s="3"/>
      <c r="B50" s="19" t="s">
        <v>161</v>
      </c>
      <c r="C50" s="19">
        <v>90</v>
      </c>
      <c r="D50" s="19">
        <f>+C50*$D$77</f>
        <v>7650</v>
      </c>
      <c r="E50" s="19" t="s">
        <v>81</v>
      </c>
      <c r="F50" s="19" t="s">
        <v>82</v>
      </c>
    </row>
    <row r="51" spans="1:6" ht="14.65" thickBot="1" x14ac:dyDescent="0.5">
      <c r="A51" s="3"/>
      <c r="B51" s="19" t="s">
        <v>162</v>
      </c>
      <c r="C51" s="19">
        <v>130</v>
      </c>
      <c r="D51" s="19">
        <f>+C51*$D$77</f>
        <v>11050</v>
      </c>
      <c r="E51" s="19" t="s">
        <v>8</v>
      </c>
      <c r="F51" s="19" t="s">
        <v>83</v>
      </c>
    </row>
    <row r="52" spans="1:6" ht="14.65" thickBot="1" x14ac:dyDescent="0.5">
      <c r="A52" s="3"/>
      <c r="B52" s="19" t="s">
        <v>163</v>
      </c>
      <c r="C52" s="19">
        <v>150</v>
      </c>
      <c r="D52" s="19">
        <f>+C52*$D$77</f>
        <v>12750</v>
      </c>
      <c r="E52" s="19" t="s">
        <v>84</v>
      </c>
      <c r="F52" s="19" t="s">
        <v>85</v>
      </c>
    </row>
    <row r="53" spans="1:6" ht="14.65" thickBot="1" x14ac:dyDescent="0.5">
      <c r="A53" s="3"/>
      <c r="B53" s="19" t="s">
        <v>164</v>
      </c>
      <c r="C53" s="19">
        <v>200</v>
      </c>
      <c r="D53" s="19">
        <f>+C53*$D$77</f>
        <v>17000</v>
      </c>
      <c r="E53" s="19" t="s">
        <v>86</v>
      </c>
      <c r="F53" s="19" t="s">
        <v>87</v>
      </c>
    </row>
    <row r="54" spans="1:6" ht="14.65" thickBot="1" x14ac:dyDescent="0.5">
      <c r="A54" s="3"/>
      <c r="B54" s="19" t="s">
        <v>165</v>
      </c>
      <c r="C54" s="19">
        <v>280</v>
      </c>
      <c r="D54" s="19">
        <f>+C54*$D$77</f>
        <v>23800</v>
      </c>
      <c r="E54" s="19" t="s">
        <v>88</v>
      </c>
      <c r="F54" s="19" t="s">
        <v>89</v>
      </c>
    </row>
    <row r="55" spans="1:6" ht="14.65" thickBot="1" x14ac:dyDescent="0.5">
      <c r="A55" s="3"/>
      <c r="B55" s="19" t="s">
        <v>166</v>
      </c>
      <c r="C55" s="19">
        <v>80</v>
      </c>
      <c r="D55" s="19">
        <f>+C55*$D$77</f>
        <v>6800</v>
      </c>
      <c r="E55" s="19" t="s">
        <v>73</v>
      </c>
      <c r="F55" s="19" t="s">
        <v>90</v>
      </c>
    </row>
    <row r="56" spans="1:6" ht="14.65" thickBot="1" x14ac:dyDescent="0.5">
      <c r="A56" s="3"/>
      <c r="B56" s="19" t="s">
        <v>167</v>
      </c>
      <c r="C56" s="19">
        <v>80</v>
      </c>
      <c r="D56" s="19">
        <f>+C56*$D$77</f>
        <v>6800</v>
      </c>
      <c r="E56" s="19" t="s">
        <v>91</v>
      </c>
      <c r="F56" s="19" t="s">
        <v>92</v>
      </c>
    </row>
    <row r="57" spans="1:6" ht="14.65" thickBot="1" x14ac:dyDescent="0.5">
      <c r="A57" s="4"/>
      <c r="B57" s="19" t="s">
        <v>168</v>
      </c>
      <c r="C57" s="19">
        <v>60</v>
      </c>
      <c r="D57" s="19">
        <f>+C57*$D$77</f>
        <v>5100</v>
      </c>
      <c r="E57" s="19" t="s">
        <v>93</v>
      </c>
      <c r="F57" s="19" t="s">
        <v>94</v>
      </c>
    </row>
    <row r="58" spans="1:6" ht="14.25" customHeight="1" thickBot="1" x14ac:dyDescent="0.5">
      <c r="A58" s="5" t="s">
        <v>95</v>
      </c>
      <c r="B58" s="19" t="s">
        <v>96</v>
      </c>
      <c r="C58" s="19">
        <v>150</v>
      </c>
      <c r="D58" s="19">
        <f>+C58*$D$77</f>
        <v>12750</v>
      </c>
      <c r="E58" s="19" t="s">
        <v>97</v>
      </c>
      <c r="F58" s="19" t="s">
        <v>98</v>
      </c>
    </row>
    <row r="59" spans="1:6" ht="14.65" thickBot="1" x14ac:dyDescent="0.5">
      <c r="A59" s="6"/>
      <c r="B59" s="19" t="s">
        <v>99</v>
      </c>
      <c r="C59" s="19">
        <v>100</v>
      </c>
      <c r="D59" s="19">
        <f>+C59*$D$77</f>
        <v>8500</v>
      </c>
      <c r="E59" s="19" t="s">
        <v>100</v>
      </c>
      <c r="F59" s="19" t="s">
        <v>101</v>
      </c>
    </row>
    <row r="60" spans="1:6" ht="14.65" thickBot="1" x14ac:dyDescent="0.5">
      <c r="A60" s="6"/>
      <c r="B60" s="19" t="s">
        <v>102</v>
      </c>
      <c r="C60" s="19">
        <v>200</v>
      </c>
      <c r="D60" s="19">
        <f>+C60*$D$77</f>
        <v>17000</v>
      </c>
      <c r="E60" s="19" t="s">
        <v>103</v>
      </c>
      <c r="F60" s="19" t="s">
        <v>104</v>
      </c>
    </row>
    <row r="61" spans="1:6" ht="14.65" thickBot="1" x14ac:dyDescent="0.5">
      <c r="A61" s="7"/>
      <c r="B61" s="19" t="s">
        <v>105</v>
      </c>
      <c r="C61" s="19">
        <v>180</v>
      </c>
      <c r="D61" s="19">
        <f>+C61*$D$77</f>
        <v>15300</v>
      </c>
      <c r="E61" s="19" t="s">
        <v>106</v>
      </c>
      <c r="F61" s="19" t="s">
        <v>107</v>
      </c>
    </row>
    <row r="62" spans="1:6" ht="14.65" thickBot="1" x14ac:dyDescent="0.5">
      <c r="A62" s="7"/>
      <c r="B62" s="19" t="s">
        <v>108</v>
      </c>
      <c r="C62" s="19">
        <v>50</v>
      </c>
      <c r="D62" s="19">
        <f>+C62*$D$77</f>
        <v>4250</v>
      </c>
      <c r="E62" s="19" t="s">
        <v>14</v>
      </c>
      <c r="F62" s="19" t="s">
        <v>109</v>
      </c>
    </row>
    <row r="63" spans="1:6" ht="51" customHeight="1" thickBot="1" x14ac:dyDescent="0.5">
      <c r="A63" s="7"/>
      <c r="B63" s="19"/>
      <c r="C63" s="19"/>
      <c r="D63" s="19">
        <f>+C63*$D$77</f>
        <v>0</v>
      </c>
      <c r="E63" s="19"/>
      <c r="F63" s="19"/>
    </row>
    <row r="64" spans="1:6" x14ac:dyDescent="0.45">
      <c r="A64" s="8"/>
      <c r="B64" s="13" t="s">
        <v>110</v>
      </c>
      <c r="C64" s="13">
        <f>SUM(C2:C63)</f>
        <v>8920</v>
      </c>
      <c r="D64" s="13">
        <f>+C64*$D$77</f>
        <v>758200</v>
      </c>
      <c r="E64" s="13"/>
      <c r="F64" s="14"/>
    </row>
    <row r="65" spans="1:7" x14ac:dyDescent="0.45">
      <c r="A65" s="9"/>
      <c r="B65" s="10" t="s">
        <v>111</v>
      </c>
      <c r="C65" s="10">
        <v>0</v>
      </c>
      <c r="D65" s="10">
        <f>+C65*$D$77</f>
        <v>0</v>
      </c>
      <c r="E65" s="13"/>
      <c r="F65" s="15" t="s">
        <v>112</v>
      </c>
    </row>
    <row r="66" spans="1:7" x14ac:dyDescent="0.45">
      <c r="A66" s="9"/>
      <c r="B66" s="10" t="s">
        <v>113</v>
      </c>
      <c r="C66" s="10">
        <f>+C64*0.11</f>
        <v>981.2</v>
      </c>
      <c r="D66" s="10">
        <f>+C66*$D$77</f>
        <v>83402</v>
      </c>
      <c r="E66" s="13"/>
      <c r="F66" s="15" t="s">
        <v>114</v>
      </c>
    </row>
    <row r="67" spans="1:7" x14ac:dyDescent="0.45">
      <c r="A67" s="9"/>
      <c r="B67" s="10" t="s">
        <v>115</v>
      </c>
      <c r="C67" s="10">
        <v>1200</v>
      </c>
      <c r="D67" s="10">
        <f>+C67*$D$77</f>
        <v>102000</v>
      </c>
      <c r="E67" s="13" t="s">
        <v>116</v>
      </c>
      <c r="F67" s="15" t="s">
        <v>117</v>
      </c>
    </row>
    <row r="68" spans="1:7" x14ac:dyDescent="0.45">
      <c r="A68" s="9"/>
      <c r="B68" s="13" t="s">
        <v>118</v>
      </c>
      <c r="C68" s="13">
        <f>SUM(C64:C67)</f>
        <v>11101.2</v>
      </c>
      <c r="D68" s="13">
        <f>+C68*$D$77</f>
        <v>943602.00000000012</v>
      </c>
      <c r="E68" s="13"/>
      <c r="F68" s="15" t="s">
        <v>119</v>
      </c>
    </row>
    <row r="69" spans="1:7" x14ac:dyDescent="0.45">
      <c r="A69" s="9"/>
      <c r="B69" s="13"/>
      <c r="C69" s="13"/>
      <c r="D69" s="13"/>
      <c r="E69" s="13"/>
      <c r="F69" s="15"/>
    </row>
    <row r="70" spans="1:7" x14ac:dyDescent="0.45">
      <c r="A70" s="9"/>
      <c r="B70" s="13"/>
      <c r="C70" s="13"/>
      <c r="D70" s="13"/>
      <c r="E70" s="13"/>
      <c r="F70" s="15" t="s">
        <v>120</v>
      </c>
    </row>
    <row r="71" spans="1:7" x14ac:dyDescent="0.45">
      <c r="A71" s="9"/>
      <c r="B71" s="13" t="s">
        <v>121</v>
      </c>
      <c r="C71" s="13">
        <f>ROUND(+C68/160,2)</f>
        <v>69.38</v>
      </c>
      <c r="D71" s="13"/>
      <c r="E71" s="13"/>
      <c r="F71" s="15" t="s">
        <v>184</v>
      </c>
      <c r="G71" s="20"/>
    </row>
    <row r="72" spans="1:7" ht="14.65" thickBot="1" x14ac:dyDescent="0.5">
      <c r="A72" s="11"/>
      <c r="B72" s="12"/>
      <c r="C72" s="12"/>
      <c r="D72" s="12"/>
      <c r="E72" s="12"/>
      <c r="F72" s="16"/>
      <c r="G72" s="20"/>
    </row>
    <row r="73" spans="1:7" x14ac:dyDescent="0.45">
      <c r="A73" t="s">
        <v>122</v>
      </c>
      <c r="G73" s="20"/>
    </row>
    <row r="74" spans="1:7" x14ac:dyDescent="0.45">
      <c r="A74" t="s">
        <v>186</v>
      </c>
    </row>
    <row r="75" spans="1:7" x14ac:dyDescent="0.45">
      <c r="A75" t="s">
        <v>185</v>
      </c>
    </row>
    <row r="76" spans="1:7" x14ac:dyDescent="0.45">
      <c r="A76" t="s">
        <v>123</v>
      </c>
    </row>
    <row r="77" spans="1:7" x14ac:dyDescent="0.45">
      <c r="D77">
        <v>85</v>
      </c>
    </row>
    <row r="78" spans="1:7" x14ac:dyDescent="0.45">
      <c r="A78" t="s">
        <v>124</v>
      </c>
    </row>
    <row r="79" spans="1:7" x14ac:dyDescent="0.45">
      <c r="A79" t="s">
        <v>125</v>
      </c>
    </row>
    <row r="80" spans="1:7" x14ac:dyDescent="0.45">
      <c r="A80" t="s">
        <v>126</v>
      </c>
    </row>
    <row r="81" spans="1:1" x14ac:dyDescent="0.45">
      <c r="A81" t="s">
        <v>127</v>
      </c>
    </row>
    <row r="82" spans="1:1" x14ac:dyDescent="0.45">
      <c r="A82" t="s">
        <v>128</v>
      </c>
    </row>
    <row r="83" spans="1:1" x14ac:dyDescent="0.45">
      <c r="A83" t="s">
        <v>129</v>
      </c>
    </row>
    <row r="84" spans="1:1" x14ac:dyDescent="0.45">
      <c r="A84" t="s">
        <v>130</v>
      </c>
    </row>
    <row r="85" spans="1:1" x14ac:dyDescent="0.45">
      <c r="A85" t="s">
        <v>131</v>
      </c>
    </row>
    <row r="86" spans="1:1" x14ac:dyDescent="0.45">
      <c r="A86" t="s">
        <v>132</v>
      </c>
    </row>
  </sheetData>
  <mergeCells count="2">
    <mergeCell ref="A2:A57"/>
    <mergeCell ref="A58:A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2026-04-08T05:13:05Z</dcterms:created>
  <dcterms:modified xsi:type="dcterms:W3CDTF">2026-04-08T11:48:29Z</dcterms:modified>
</cp:coreProperties>
</file>