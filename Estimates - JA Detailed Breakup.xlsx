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tya Siva Parasa\Downloads\"/>
    </mc:Choice>
  </mc:AlternateContent>
  <xr:revisionPtr revIDLastSave="0" documentId="13_ncr:1_{24AEC4C5-357B-44AA-83C5-D50C73E19DF7}" xr6:coauthVersionLast="47" xr6:coauthVersionMax="47" xr10:uidLastSave="{00000000-0000-0000-0000-000000000000}"/>
  <bookViews>
    <workbookView xWindow="-98" yWindow="-98" windowWidth="24196" windowHeight="14476" xr2:uid="{B4174625-14F9-471E-901C-2BF82E3D1A24}"/>
  </bookViews>
  <sheets>
    <sheet name="Estimate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  <c r="E16" i="3"/>
  <c r="E12" i="3"/>
  <c r="E11" i="3"/>
  <c r="E10" i="3"/>
  <c r="E25" i="3"/>
  <c r="E24" i="3"/>
  <c r="E23" i="3"/>
  <c r="E22" i="3"/>
  <c r="E19" i="3"/>
  <c r="E18" i="3"/>
  <c r="E17" i="3"/>
  <c r="E15" i="3"/>
  <c r="E13" i="3"/>
  <c r="E9" i="3"/>
  <c r="E8" i="3"/>
  <c r="E7" i="3"/>
  <c r="E6" i="3"/>
  <c r="E5" i="3"/>
  <c r="E4" i="3"/>
  <c r="D44" i="3"/>
  <c r="D20" i="3"/>
  <c r="D21" i="3" s="1"/>
  <c r="E21" i="3" s="1"/>
  <c r="D42" i="3"/>
  <c r="E20" i="3" l="1"/>
  <c r="D45" i="3"/>
  <c r="D28" i="3"/>
  <c r="E28" i="3" s="1"/>
  <c r="D30" i="3" l="1"/>
  <c r="D46" i="3"/>
  <c r="F45" i="3" l="1"/>
</calcChain>
</file>

<file path=xl/sharedStrings.xml><?xml version="1.0" encoding="utf-8"?>
<sst xmlns="http://schemas.openxmlformats.org/spreadsheetml/2006/main" count="76" uniqueCount="69">
  <si>
    <t>Phase</t>
  </si>
  <si>
    <t>Feature</t>
  </si>
  <si>
    <t>Hours</t>
  </si>
  <si>
    <t>Team</t>
  </si>
  <si>
    <t>Comments</t>
  </si>
  <si>
    <t>Discovery and Design</t>
  </si>
  <si>
    <t>PM, SA, Designer</t>
  </si>
  <si>
    <t>Designer Full Time, PM and SA Provide Direction</t>
  </si>
  <si>
    <t>DevOps pipelines (CI/CD for Azure, 4 envs)</t>
  </si>
  <si>
    <t>DevOps</t>
  </si>
  <si>
    <t>DevOps Owns, SA Directs</t>
  </si>
  <si>
    <t>FE</t>
  </si>
  <si>
    <t>FE Owns, PM/SA Directs</t>
  </si>
  <si>
    <t>Security, MFA, audit, compliance</t>
  </si>
  <si>
    <t>SA</t>
  </si>
  <si>
    <t>SA to Deliver involving 1 BE</t>
  </si>
  <si>
    <t>DevOps, BE and SA</t>
  </si>
  <si>
    <t>DevOps Full Time, BE works on Workflows, Message Queues, Data Mapping, SA Provides direction</t>
  </si>
  <si>
    <t>Development</t>
  </si>
  <si>
    <t>FE, BE, Designer and QA</t>
  </si>
  <si>
    <t>FE, BE Full time, Designer as needed and QA part time - iteration testing</t>
  </si>
  <si>
    <t xml:space="preserve">Hardening full System for UAT,
Planning for Go-Live.
Go-Live​
</t>
  </si>
  <si>
    <t>FE, BE, Designer, QA, PM, SA, DevOps</t>
  </si>
  <si>
    <t>FE, BE Full time, Designer as needed and QA part time - iteration testing, PM and SA for Direction, DevOps for any last minute tweaks</t>
  </si>
  <si>
    <t>Architecture documentation (network + topology)</t>
  </si>
  <si>
    <t>SA to Deliver</t>
  </si>
  <si>
    <t>QA</t>
  </si>
  <si>
    <t>QA Owns, PM and SA Direct</t>
  </si>
  <si>
    <t>DBA</t>
  </si>
  <si>
    <t>PM and SA</t>
  </si>
  <si>
    <t>Sub- Total</t>
  </si>
  <si>
    <t>PM</t>
  </si>
  <si>
    <t>Total</t>
  </si>
  <si>
    <t>Man Months</t>
  </si>
  <si>
    <t>FTE</t>
  </si>
  <si>
    <t>Solution Architect</t>
  </si>
  <si>
    <t>Front End Dev</t>
  </si>
  <si>
    <t>BackEnd Dev</t>
  </si>
  <si>
    <t>Designer</t>
  </si>
  <si>
    <t>Total Capacity Hours Available, excluding Support</t>
  </si>
  <si>
    <t>Total Development Hours</t>
  </si>
  <si>
    <t>Available Buffer Time to deal with Contingencies</t>
  </si>
  <si>
    <t>Testing &amp; Delivery</t>
  </si>
  <si>
    <t>Secure HIPAA-Compliant Cloud Setup (Dev, Test, UAT, Prod)
Automated CI/CD Pipelines for Data &amp; Code</t>
  </si>
  <si>
    <t xml:space="preserve">Episode-of-Care &amp; Price Standardization Logic
Risk Adjustment Modeling (Elixhauser, CMS-HCC)
Role-Based Access Control (RBAC) &amp; Site-Specific Logic
Dashboard Development &amp; Tableau Integration
Export Services (Standard Analytic Files - SAFs)
</t>
  </si>
  <si>
    <t>Cost</t>
  </si>
  <si>
    <t>Stakeholder Alignment &amp; Data Mapping: Mapping HIDOE PTP, UH Banner SIS, and DLIR LMI datasets.
Architecture &amp; Security Design: Designing the "Zero-PII" Scrubber and Azure Government Cloud setup.</t>
  </si>
  <si>
    <t>UX/UI and Accessibility (WCAG 2.1 level AA)</t>
  </si>
  <si>
    <t>Data Ingestion Pipelines: Building ETL/API connectors for HIDOE PTP, Banner, and DLIR batch/real-time feeds.</t>
  </si>
  <si>
    <t>AI Engine &amp; RAG Implementation: Developing the LLM logic, RAG over UH catalogs, and CIP-SOC mapping.</t>
  </si>
  <si>
    <t>Front-End PWA Development: Building the student portal, advisor dashboard, and mobile-optimized interfaces.</t>
  </si>
  <si>
    <t>XAI &amp; Analytics Dashboard: Building the explainability modules and administrative reporting suite.</t>
  </si>
  <si>
    <t>E2E Testing &amp; Accessibility Audit: Full system integration testing, performance tuning, and ADA remediation.</t>
  </si>
  <si>
    <t>Security Hardening &amp; Pentesting: Final security audit, SOC 2 compliance check, and production deployment.</t>
  </si>
  <si>
    <t>Technical Documentation &amp; Training: SOPs, Admin Guides, and "Train-the-Trainer" sessions for counselors.</t>
  </si>
  <si>
    <t>Year 1 Support (Hyper-Care &amp; Maintenance: Post-launch monitoring, quarterly model retraining, and DLIR data refreshes.)</t>
  </si>
  <si>
    <t>Year 2 Support (Hyper-Care &amp; AI Tuning)</t>
  </si>
  <si>
    <t>Year 3 Support (Steady State Ops)</t>
  </si>
  <si>
    <t>Year 4 Support (Strategic Expansion)</t>
  </si>
  <si>
    <t>1 - FTE (Full-Stack, DevOps)</t>
  </si>
  <si>
    <t>LMI Refresh: Quarterly updates of Hawaii Department of Labor salary/growth data. Ensuring WCAG 2.1 AA compliance persists through browser updates.</t>
  </si>
  <si>
    <t>1.0 FTE (Full-stack, SA)</t>
  </si>
  <si>
    <t>New Integration Points: Adding any new HIDOE or UHCC data nodes (e.g., specific campus-level internship feeds) that emerged since Go-Live.</t>
  </si>
  <si>
    <t>Year 5 (Optimization and Transition)</t>
  </si>
  <si>
    <t>1.2 FTE (PM, SA, Data Engineer)</t>
  </si>
  <si>
    <t>Transition Readiness: Preparing the "Model Weights" and "Data Sovereignty" package for handover (as per Q&amp;A #41/42) if the contract ends.</t>
  </si>
  <si>
    <t>1.5 FTE (Data Eng, AI Eng, PM)</t>
  </si>
  <si>
    <t>Refining the CIP-SOC Crosswalk based on real student outcomes and retraining models with the first year of live UHCC usage data.</t>
  </si>
  <si>
    <t>2 - FTE(for continuous compliance and SLA management).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</si>
</sst>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5" borderId="3" xfId="0" applyFont="1" applyFill="1" applyBorder="1" applyAlignment="1">
      <alignment horizontal="center" vertical="top" wrapText="1"/>
    </xf>
    <xf numFmtId="0" fontId="0" fillId="5" borderId="4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5" borderId="0" xfId="0" applyFill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0" fillId="5" borderId="9" xfId="0" applyFill="1" applyBorder="1" applyAlignment="1">
      <alignment vertical="top" wrapText="1"/>
    </xf>
    <xf numFmtId="0" fontId="1" fillId="5" borderId="10" xfId="0" applyFont="1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0" fillId="5" borderId="11" xfId="0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0" fillId="0" borderId="13" xfId="0" applyBorder="1" applyAlignment="1">
      <alignment horizontal="right" vertical="top" wrapText="1"/>
    </xf>
    <xf numFmtId="0" fontId="0" fillId="0" borderId="13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89" wrapText="1"/>
    </xf>
    <xf numFmtId="0" fontId="1" fillId="3" borderId="2" xfId="0" applyFont="1" applyFill="1" applyBorder="1" applyAlignment="1">
      <alignment horizontal="center" vertical="center" textRotation="89" wrapText="1"/>
    </xf>
    <xf numFmtId="0" fontId="1" fillId="4" borderId="1" xfId="0" applyFont="1" applyFill="1" applyBorder="1" applyAlignment="1">
      <alignment horizontal="center" vertical="center" textRotation="90" wrapText="1"/>
    </xf>
    <xf numFmtId="0" fontId="1" fillId="4" borderId="2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7FA3-585A-41A9-BA9F-3663A5710C10}">
  <dimension ref="B3:G46"/>
  <sheetViews>
    <sheetView tabSelected="1" zoomScaleNormal="100" workbookViewId="0">
      <selection activeCell="E7" sqref="E7"/>
    </sheetView>
  </sheetViews>
  <sheetFormatPr defaultColWidth="8.86328125" defaultRowHeight="15" customHeight="1" x14ac:dyDescent="0.45"/>
  <cols>
    <col min="2" max="2" width="22.3984375" customWidth="1"/>
    <col min="3" max="3" width="50.1328125" customWidth="1"/>
    <col min="4" max="5" width="12.73046875" customWidth="1"/>
    <col min="6" max="6" width="25" bestFit="1" customWidth="1"/>
    <col min="7" max="7" width="24.86328125" customWidth="1"/>
  </cols>
  <sheetData>
    <row r="3" spans="2:7" ht="14.25" x14ac:dyDescent="0.45">
      <c r="B3" s="14" t="s">
        <v>0</v>
      </c>
      <c r="C3" s="15" t="s">
        <v>1</v>
      </c>
      <c r="D3" s="2" t="s">
        <v>2</v>
      </c>
      <c r="E3" s="2" t="s">
        <v>45</v>
      </c>
      <c r="F3" s="2" t="s">
        <v>3</v>
      </c>
      <c r="G3" s="2" t="s">
        <v>4</v>
      </c>
    </row>
    <row r="4" spans="2:7" ht="57.4" thickBot="1" x14ac:dyDescent="0.5">
      <c r="B4" s="22" t="s">
        <v>5</v>
      </c>
      <c r="C4" s="16" t="s">
        <v>46</v>
      </c>
      <c r="D4" s="17">
        <v>720</v>
      </c>
      <c r="E4" s="17">
        <f>+D4*65</f>
        <v>46800</v>
      </c>
      <c r="F4" s="18" t="s">
        <v>6</v>
      </c>
      <c r="G4" s="19" t="s">
        <v>7</v>
      </c>
    </row>
    <row r="5" spans="2:7" ht="14.65" thickBot="1" x14ac:dyDescent="0.5">
      <c r="B5" s="22"/>
      <c r="C5" s="20" t="s">
        <v>8</v>
      </c>
      <c r="D5" s="20">
        <v>80</v>
      </c>
      <c r="E5" s="17">
        <f t="shared" ref="E5:E28" si="0">+D5*65</f>
        <v>5200</v>
      </c>
      <c r="F5" s="20" t="s">
        <v>9</v>
      </c>
      <c r="G5" s="21" t="s">
        <v>10</v>
      </c>
    </row>
    <row r="6" spans="2:7" ht="14.65" thickBot="1" x14ac:dyDescent="0.5">
      <c r="B6" s="22"/>
      <c r="C6" s="20" t="s">
        <v>47</v>
      </c>
      <c r="D6" s="20">
        <v>420</v>
      </c>
      <c r="E6" s="17">
        <f t="shared" si="0"/>
        <v>27300</v>
      </c>
      <c r="F6" s="20" t="s">
        <v>11</v>
      </c>
      <c r="G6" s="21" t="s">
        <v>12</v>
      </c>
    </row>
    <row r="7" spans="2:7" ht="14.65" thickBot="1" x14ac:dyDescent="0.5">
      <c r="B7" s="22"/>
      <c r="C7" s="20" t="s">
        <v>13</v>
      </c>
      <c r="D7" s="20">
        <v>120</v>
      </c>
      <c r="E7" s="17">
        <f t="shared" si="0"/>
        <v>7800</v>
      </c>
      <c r="F7" s="20" t="s">
        <v>14</v>
      </c>
      <c r="G7" s="21" t="s">
        <v>15</v>
      </c>
    </row>
    <row r="8" spans="2:7" ht="57.4" thickBot="1" x14ac:dyDescent="0.5">
      <c r="B8" s="22"/>
      <c r="C8" s="20" t="s">
        <v>43</v>
      </c>
      <c r="D8" s="20">
        <v>460</v>
      </c>
      <c r="E8" s="17">
        <f t="shared" si="0"/>
        <v>29900</v>
      </c>
      <c r="F8" s="20" t="s">
        <v>16</v>
      </c>
      <c r="G8" s="21" t="s">
        <v>17</v>
      </c>
    </row>
    <row r="9" spans="2:7" ht="43.15" thickBot="1" x14ac:dyDescent="0.5">
      <c r="B9" s="23" t="s">
        <v>18</v>
      </c>
      <c r="C9" s="20" t="s">
        <v>48</v>
      </c>
      <c r="D9" s="20">
        <v>1800</v>
      </c>
      <c r="E9" s="17">
        <f t="shared" si="0"/>
        <v>117000</v>
      </c>
      <c r="F9" s="20" t="s">
        <v>19</v>
      </c>
      <c r="G9" s="21" t="s">
        <v>20</v>
      </c>
    </row>
    <row r="10" spans="2:7" ht="28.9" thickBot="1" x14ac:dyDescent="0.5">
      <c r="B10" s="24"/>
      <c r="C10" s="20" t="s">
        <v>49</v>
      </c>
      <c r="D10" s="20">
        <v>1200</v>
      </c>
      <c r="E10" s="17">
        <f t="shared" si="0"/>
        <v>78000</v>
      </c>
      <c r="F10" s="20"/>
      <c r="G10" s="21"/>
    </row>
    <row r="11" spans="2:7" ht="28.9" thickBot="1" x14ac:dyDescent="0.5">
      <c r="B11" s="24"/>
      <c r="C11" s="20" t="s">
        <v>50</v>
      </c>
      <c r="D11" s="20">
        <v>1600</v>
      </c>
      <c r="E11" s="17">
        <f t="shared" si="0"/>
        <v>104000</v>
      </c>
      <c r="F11" s="20"/>
      <c r="G11" s="21"/>
    </row>
    <row r="12" spans="2:7" ht="28.9" thickBot="1" x14ac:dyDescent="0.5">
      <c r="B12" s="24"/>
      <c r="C12" s="20" t="s">
        <v>51</v>
      </c>
      <c r="D12" s="20">
        <v>700</v>
      </c>
      <c r="E12" s="17">
        <f t="shared" si="0"/>
        <v>45500</v>
      </c>
      <c r="F12" s="20"/>
      <c r="G12" s="21"/>
    </row>
    <row r="13" spans="2:7" ht="77.25" customHeight="1" thickBot="1" x14ac:dyDescent="0.5">
      <c r="B13" s="24"/>
      <c r="C13" s="20" t="s">
        <v>44</v>
      </c>
      <c r="D13" s="20">
        <v>4300</v>
      </c>
      <c r="E13" s="17">
        <f t="shared" si="0"/>
        <v>279500</v>
      </c>
      <c r="F13" s="20" t="s">
        <v>19</v>
      </c>
      <c r="G13" s="21" t="s">
        <v>20</v>
      </c>
    </row>
    <row r="14" spans="2:7" ht="14.65" thickBot="1" x14ac:dyDescent="0.5">
      <c r="B14" s="24"/>
      <c r="C14" s="20"/>
      <c r="D14" s="20"/>
      <c r="E14" s="17"/>
      <c r="F14" s="20"/>
      <c r="G14" s="21"/>
    </row>
    <row r="15" spans="2:7" ht="28.9" thickBot="1" x14ac:dyDescent="0.5">
      <c r="B15" s="25" t="s">
        <v>42</v>
      </c>
      <c r="C15" s="20" t="s">
        <v>52</v>
      </c>
      <c r="D15" s="20">
        <v>900</v>
      </c>
      <c r="E15" s="17">
        <f t="shared" si="0"/>
        <v>58500</v>
      </c>
      <c r="F15" s="20" t="s">
        <v>26</v>
      </c>
      <c r="G15" s="21" t="s">
        <v>27</v>
      </c>
    </row>
    <row r="16" spans="2:7" ht="28.9" thickBot="1" x14ac:dyDescent="0.5">
      <c r="B16" s="26"/>
      <c r="C16" s="20" t="s">
        <v>53</v>
      </c>
      <c r="D16" s="20">
        <v>420</v>
      </c>
      <c r="E16" s="17">
        <f t="shared" si="0"/>
        <v>27300</v>
      </c>
      <c r="F16" s="20"/>
      <c r="G16" s="21"/>
    </row>
    <row r="17" spans="2:7" ht="14.65" thickBot="1" x14ac:dyDescent="0.5">
      <c r="B17" s="26"/>
      <c r="C17" s="20" t="s">
        <v>24</v>
      </c>
      <c r="D17" s="20">
        <v>120</v>
      </c>
      <c r="E17" s="17">
        <f t="shared" si="0"/>
        <v>7800</v>
      </c>
      <c r="F17" s="20" t="s">
        <v>14</v>
      </c>
      <c r="G17" s="21" t="s">
        <v>25</v>
      </c>
    </row>
    <row r="18" spans="2:7" ht="28.9" thickBot="1" x14ac:dyDescent="0.5">
      <c r="B18" s="26"/>
      <c r="C18" s="20" t="s">
        <v>54</v>
      </c>
      <c r="D18" s="20">
        <v>160</v>
      </c>
      <c r="E18" s="17">
        <f t="shared" si="0"/>
        <v>10400</v>
      </c>
      <c r="F18" s="20" t="s">
        <v>29</v>
      </c>
      <c r="G18" s="21"/>
    </row>
    <row r="19" spans="2:7" ht="46.5" customHeight="1" thickBot="1" x14ac:dyDescent="0.5">
      <c r="B19" s="26"/>
      <c r="C19" s="20" t="s">
        <v>21</v>
      </c>
      <c r="D19" s="20">
        <v>400</v>
      </c>
      <c r="E19" s="17">
        <f t="shared" si="0"/>
        <v>26000</v>
      </c>
      <c r="F19" s="20" t="s">
        <v>22</v>
      </c>
      <c r="G19" s="21" t="s">
        <v>23</v>
      </c>
    </row>
    <row r="20" spans="2:7" ht="14.25" x14ac:dyDescent="0.45">
      <c r="B20" s="3"/>
      <c r="C20" s="4" t="s">
        <v>30</v>
      </c>
      <c r="D20" s="4">
        <f>SUM(D8:D19)</f>
        <v>12060</v>
      </c>
      <c r="E20" s="7">
        <f t="shared" si="0"/>
        <v>783900</v>
      </c>
      <c r="F20" s="4"/>
      <c r="G20" s="5"/>
    </row>
    <row r="21" spans="2:7" ht="14.25" x14ac:dyDescent="0.45">
      <c r="B21" s="6"/>
      <c r="C21" s="7" t="s">
        <v>31</v>
      </c>
      <c r="D21" s="7">
        <f>0.1*D20</f>
        <v>1206</v>
      </c>
      <c r="E21" s="7">
        <f t="shared" si="0"/>
        <v>78390</v>
      </c>
      <c r="F21" s="7"/>
      <c r="G21" s="8"/>
    </row>
    <row r="22" spans="2:7" ht="42.75" x14ac:dyDescent="0.45">
      <c r="B22" s="6"/>
      <c r="C22" s="9" t="s">
        <v>55</v>
      </c>
      <c r="D22" s="9">
        <v>2400</v>
      </c>
      <c r="E22" s="7">
        <f t="shared" si="0"/>
        <v>156000</v>
      </c>
      <c r="F22" s="7" t="s">
        <v>68</v>
      </c>
      <c r="G22" s="8"/>
    </row>
    <row r="23" spans="2:7" ht="71.25" x14ac:dyDescent="0.45">
      <c r="B23" s="6"/>
      <c r="C23" s="9" t="s">
        <v>56</v>
      </c>
      <c r="D23" s="9">
        <v>2400</v>
      </c>
      <c r="E23" s="7">
        <f t="shared" si="0"/>
        <v>156000</v>
      </c>
      <c r="F23" s="7" t="s">
        <v>66</v>
      </c>
      <c r="G23" s="8" t="s">
        <v>67</v>
      </c>
    </row>
    <row r="24" spans="2:7" ht="85.5" x14ac:dyDescent="0.45">
      <c r="B24" s="6"/>
      <c r="C24" s="9" t="s">
        <v>57</v>
      </c>
      <c r="D24" s="9">
        <v>1800</v>
      </c>
      <c r="E24" s="7">
        <f t="shared" si="0"/>
        <v>117000</v>
      </c>
      <c r="F24" s="7" t="s">
        <v>59</v>
      </c>
      <c r="G24" s="8" t="s">
        <v>60</v>
      </c>
    </row>
    <row r="25" spans="2:7" ht="71.25" x14ac:dyDescent="0.45">
      <c r="B25" s="6"/>
      <c r="C25" s="9" t="s">
        <v>58</v>
      </c>
      <c r="D25" s="9">
        <v>1800</v>
      </c>
      <c r="E25" s="7">
        <f t="shared" si="0"/>
        <v>117000</v>
      </c>
      <c r="F25" s="7" t="s">
        <v>61</v>
      </c>
      <c r="G25" s="8" t="s">
        <v>62</v>
      </c>
    </row>
    <row r="26" spans="2:7" ht="85.5" x14ac:dyDescent="0.45">
      <c r="B26" s="6"/>
      <c r="C26" s="9" t="s">
        <v>63</v>
      </c>
      <c r="D26" s="9">
        <v>20000</v>
      </c>
      <c r="E26" s="7">
        <f t="shared" si="0"/>
        <v>1300000</v>
      </c>
      <c r="F26" s="7" t="s">
        <v>64</v>
      </c>
      <c r="G26" s="8" t="s">
        <v>65</v>
      </c>
    </row>
    <row r="27" spans="2:7" ht="14.25" x14ac:dyDescent="0.45">
      <c r="B27" s="6"/>
      <c r="C27" s="9"/>
      <c r="D27" s="9"/>
      <c r="E27" s="7"/>
      <c r="F27" s="7"/>
      <c r="G27" s="8"/>
    </row>
    <row r="28" spans="2:7" ht="14.65" thickBot="1" x14ac:dyDescent="0.5">
      <c r="B28" s="10"/>
      <c r="C28" s="11" t="s">
        <v>32</v>
      </c>
      <c r="D28" s="11">
        <f>SUM(D20:D22)</f>
        <v>15666</v>
      </c>
      <c r="E28" s="7">
        <f t="shared" si="0"/>
        <v>1018290</v>
      </c>
      <c r="F28" s="12"/>
      <c r="G28" s="13"/>
    </row>
    <row r="30" spans="2:7" ht="14.25" x14ac:dyDescent="0.45">
      <c r="C30" t="s">
        <v>33</v>
      </c>
      <c r="D30">
        <f>ROUND(D28/(140),0)</f>
        <v>112</v>
      </c>
    </row>
    <row r="32" spans="2:7" ht="14.25" x14ac:dyDescent="0.45">
      <c r="D32" s="1" t="s">
        <v>34</v>
      </c>
      <c r="E32" s="1"/>
    </row>
    <row r="33" spans="3:6" ht="14.25" x14ac:dyDescent="0.45">
      <c r="C33" t="s">
        <v>3</v>
      </c>
      <c r="D33">
        <v>0.5</v>
      </c>
    </row>
    <row r="34" spans="3:6" ht="14.25" x14ac:dyDescent="0.45">
      <c r="C34" t="s">
        <v>31</v>
      </c>
      <c r="D34">
        <v>0.5</v>
      </c>
    </row>
    <row r="35" spans="3:6" ht="14.25" x14ac:dyDescent="0.45">
      <c r="C35" t="s">
        <v>35</v>
      </c>
      <c r="D35">
        <v>0.5</v>
      </c>
    </row>
    <row r="36" spans="3:6" ht="14.25" x14ac:dyDescent="0.45">
      <c r="C36" t="s">
        <v>36</v>
      </c>
      <c r="D36">
        <v>2</v>
      </c>
    </row>
    <row r="37" spans="3:6" ht="14.25" x14ac:dyDescent="0.45">
      <c r="C37" t="s">
        <v>37</v>
      </c>
      <c r="D37">
        <v>3</v>
      </c>
    </row>
    <row r="38" spans="3:6" ht="14.25" x14ac:dyDescent="0.45">
      <c r="C38" t="s">
        <v>28</v>
      </c>
      <c r="D38">
        <v>0.5</v>
      </c>
    </row>
    <row r="39" spans="3:6" ht="14.25" x14ac:dyDescent="0.45">
      <c r="C39" t="s">
        <v>26</v>
      </c>
      <c r="D39">
        <v>2</v>
      </c>
    </row>
    <row r="40" spans="3:6" ht="14.25" x14ac:dyDescent="0.45">
      <c r="C40" t="s">
        <v>38</v>
      </c>
      <c r="D40">
        <v>1</v>
      </c>
    </row>
    <row r="41" spans="3:6" ht="14.25" x14ac:dyDescent="0.45">
      <c r="C41" t="s">
        <v>9</v>
      </c>
      <c r="D41">
        <v>0.5</v>
      </c>
    </row>
    <row r="42" spans="3:6" ht="15" customHeight="1" x14ac:dyDescent="0.45">
      <c r="D42">
        <f>SUM(D34:D41)</f>
        <v>10</v>
      </c>
    </row>
    <row r="44" spans="3:6" ht="15" customHeight="1" x14ac:dyDescent="0.45">
      <c r="C44" t="s">
        <v>39</v>
      </c>
      <c r="D44">
        <f>240*10*8</f>
        <v>19200</v>
      </c>
    </row>
    <row r="45" spans="3:6" ht="15" customHeight="1" x14ac:dyDescent="0.45">
      <c r="C45" t="s">
        <v>40</v>
      </c>
      <c r="D45">
        <f>+D20</f>
        <v>12060</v>
      </c>
      <c r="F45">
        <f>+D45/8</f>
        <v>1507.5</v>
      </c>
    </row>
    <row r="46" spans="3:6" ht="15" customHeight="1" x14ac:dyDescent="0.45">
      <c r="C46" t="s">
        <v>41</v>
      </c>
      <c r="D46">
        <f>+D44-D45</f>
        <v>7140</v>
      </c>
    </row>
  </sheetData>
  <mergeCells count="3">
    <mergeCell ref="B4:B8"/>
    <mergeCell ref="B9:B14"/>
    <mergeCell ref="B15:B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7EF55D3DAF0E48876F0E42C3D53981" ma:contentTypeVersion="17" ma:contentTypeDescription="Create a new document." ma:contentTypeScope="" ma:versionID="45d41048c3ae8dc6389b16f25cf4dae7">
  <xsd:schema xmlns:xsd="http://www.w3.org/2001/XMLSchema" xmlns:xs="http://www.w3.org/2001/XMLSchema" xmlns:p="http://schemas.microsoft.com/office/2006/metadata/properties" xmlns:ns2="068c60e3-a930-4321-9a60-8114e8434867" xmlns:ns3="ef497ac1-1da0-427c-8068-2c09b3eefe7f" targetNamespace="http://schemas.microsoft.com/office/2006/metadata/properties" ma:root="true" ma:fieldsID="94ffcd6b07f46b8228079fb6692e0767" ns2:_="" ns3:_="">
    <xsd:import namespace="068c60e3-a930-4321-9a60-8114e8434867"/>
    <xsd:import namespace="ef497ac1-1da0-427c-8068-2c09b3eefe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c60e3-a930-4321-9a60-8114e8434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0933afb-ec50-4ccc-9ef9-215eeba6d4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97ac1-1da0-427c-8068-2c09b3eefe7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fef9e59-16ca-4267-ad51-c68cc0cfda93}" ma:internalName="TaxCatchAll" ma:showField="CatchAllData" ma:web="ef497ac1-1da0-427c-8068-2c09b3eefe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497ac1-1da0-427c-8068-2c09b3eefe7f" xsi:nil="true"/>
    <lcf76f155ced4ddcb4097134ff3c332f xmlns="068c60e3-a930-4321-9a60-8114e843486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5AFAF4-AA7B-4996-BAA1-91E638555F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8c60e3-a930-4321-9a60-8114e8434867"/>
    <ds:schemaRef ds:uri="ef497ac1-1da0-427c-8068-2c09b3eefe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4FAFE1-F015-429C-BF18-2F7EC1BDD502}">
  <ds:schemaRefs>
    <ds:schemaRef ds:uri="http://schemas.microsoft.com/office/2006/metadata/properties"/>
    <ds:schemaRef ds:uri="http://schemas.microsoft.com/office/infopath/2007/PartnerControls"/>
    <ds:schemaRef ds:uri="ef497ac1-1da0-427c-8068-2c09b3eefe7f"/>
    <ds:schemaRef ds:uri="068c60e3-a930-4321-9a60-8114e8434867"/>
  </ds:schemaRefs>
</ds:datastoreItem>
</file>

<file path=customXml/itemProps3.xml><?xml version="1.0" encoding="utf-8"?>
<ds:datastoreItem xmlns:ds="http://schemas.openxmlformats.org/officeDocument/2006/customXml" ds:itemID="{DD8E00EB-DD2B-40FC-BF07-73EC25FB57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Sreedhar Tatavarthi</dc:creator>
  <cp:keywords/>
  <dc:description/>
  <cp:lastModifiedBy>Venkata Parasa</cp:lastModifiedBy>
  <cp:revision/>
  <dcterms:created xsi:type="dcterms:W3CDTF">2024-09-24T19:45:07Z</dcterms:created>
  <dcterms:modified xsi:type="dcterms:W3CDTF">2026-03-31T16:15:13Z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0x010100B27EF55D3DAF0E48876F0E42C3D53981</vt:lpwstr>
  </property>
  <property fmtid="{D5CDD505-2E9C-101B-9397-08002B2CF9AE}" pid="3" name="MediaServiceImageTags">
    <vt:lpwstr/>
  </property>
</Properties>
</file>